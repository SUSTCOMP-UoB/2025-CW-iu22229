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oo\OneDrive\Desktop\All\YOU and I\Year 4\Sus Computing\Coursework\2025-CW-iu22229\Avr Prompt Size\"/>
    </mc:Choice>
  </mc:AlternateContent>
  <xr:revisionPtr revIDLastSave="0" documentId="13_ncr:1_{B54B9213-CCA6-4216-A773-AD66E1DB1DDA}" xr6:coauthVersionLast="47" xr6:coauthVersionMax="47" xr10:uidLastSave="{00000000-0000-0000-0000-000000000000}"/>
  <bookViews>
    <workbookView xWindow="-108" yWindow="-108" windowWidth="23256" windowHeight="12456" activeTab="2" xr2:uid="{E2142325-F792-4DB8-AF53-E0E4712F84D5}"/>
  </bookViews>
  <sheets>
    <sheet name="PromptsToTokens" sheetId="2" r:id="rId1"/>
    <sheet name="PromptsToTimes" sheetId="1" r:id="rId2"/>
    <sheet name="ResponseToke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C25" i="3" a="1"/>
  <c r="C25" i="3" s="1"/>
  <c r="D24" i="3"/>
  <c r="C24" i="3" a="1"/>
  <c r="C24" i="3" s="1"/>
  <c r="E24" i="2" a="1"/>
  <c r="E24" i="2" s="1"/>
  <c r="F24" i="2" s="1"/>
  <c r="F25" i="2"/>
  <c r="E25" i="2" a="1"/>
  <c r="E25" i="2" s="1"/>
  <c r="E23" i="2"/>
  <c r="C25" i="1" a="1"/>
  <c r="C25" i="1" s="1"/>
  <c r="D25" i="1" s="1"/>
  <c r="C24" i="1" a="1"/>
  <c r="C24" i="1" s="1"/>
  <c r="B22" i="3"/>
  <c r="D2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<sst xmlns="http://schemas.openxmlformats.org/spreadsheetml/2006/main" count="61" uniqueCount="33">
  <si>
    <t>ID</t>
  </si>
  <si>
    <t>Response</t>
  </si>
  <si>
    <t>Measured times (s)</t>
  </si>
  <si>
    <t>Explain the concept of quantum entanglement in simple terms, suitable for a high school student.</t>
  </si>
  <si>
    <t>Write a short, engaging story about a robot who discovers music for the first time.</t>
  </si>
  <si>
    <t>Draft a professional email to a supervisor requesting a one-week extension on a project deadline.</t>
  </si>
  <si>
    <t>Compare and contrast the political philosophies of Plato and Aristotle.</t>
  </si>
  <si>
    <t>What are the key differences between a black hole and a supernova?</t>
  </si>
  <si>
    <t>Generate a list of 10 unique, healthy dinner recipes that take less than 30 minutes to prepare.</t>
  </si>
  <si>
    <t>Write a Python function to perform a binary search on a sorted list of integers.</t>
  </si>
  <si>
    <t>Summarize the main arguments of the book Sapiens: A Brief History of Humankind by Yuval Noah Harari.</t>
  </si>
  <si>
    <t>Translate the following sentence into French: "The weather is beautiful today, and I plan to go for a long walk."</t>
  </si>
  <si>
    <t>Act as a travel agent and suggest a five-day itinerary for a trip to Tokyo, focusing on culture and food.</t>
  </si>
  <si>
    <t>Create a table listing the capital, population, and major industries of Canada, Brazil, and Germany.</t>
  </si>
  <si>
    <t>Design a 4-week strength training workout plan for an intermediate lifter.</t>
  </si>
  <si>
    <t>Give me a detailed explanation of how a combustion engine works.</t>
  </si>
  <si>
    <t>Write a haiku about the first snowfall of winter.</t>
  </si>
  <si>
    <t>What are the pros and cons of implementing a four-day work week?</t>
  </si>
  <si>
    <t>Analyze the themes and symbolism in Shakespeare's play Macbeth.</t>
  </si>
  <si>
    <t>I'm writing a fantasy novel. Give me five unique names for a mystical forest.</t>
  </si>
  <si>
    <t>Generate a multiple-choice quiz question about the causes of the American Civil War, including four options and the correct answer.</t>
  </si>
  <si>
    <t>Explain the process of photosynthesis, step by step.</t>
  </si>
  <si>
    <t>Rewrite the following paragraph to be more concise and active: "The meeting was attended by the entire team, and a lot of discussion about the new marketing strategy was had by everyone involved."</t>
  </si>
  <si>
    <t>AVERAGE</t>
  </si>
  <si>
    <t>TOTAL AVERAGE</t>
  </si>
  <si>
    <t>Response Tokens</t>
  </si>
  <si>
    <t>Characters</t>
  </si>
  <si>
    <t>Words</t>
  </si>
  <si>
    <t>Tokens</t>
  </si>
  <si>
    <t>MAX DIFFERENCE</t>
  </si>
  <si>
    <t>MAX</t>
  </si>
  <si>
    <t>tokens/prompt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</si>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</sst>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2370-5DA7-40E8-8379-83C3AE91278A}">
  <dimension ref="A1:F25"/>
  <sheetViews>
    <sheetView workbookViewId="0">
      <selection activeCell="F25" sqref="D24:F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 spans="1:5" x14ac:dyDescent="0.3">
      <c r="A2">
        <v>1</v>
      </c>
      <c r="B2" t="s">
        <v>3</v>
      </c>
      <c r="C2">
        <v>96</v>
      </c>
      <c r="D2">
        <v>15</v>
      </c>
      <c r="E2">
        <v>17</v>
      </c>
    </row>
    <row r="3" spans="1:5" x14ac:dyDescent="0.3">
      <c r="A3">
        <v>2</v>
      </c>
      <c r="B3" t="s">
        <v>4</v>
      </c>
      <c r="C3">
        <v>83</v>
      </c>
      <c r="D3">
        <v>15</v>
      </c>
      <c r="E3">
        <v>17</v>
      </c>
    </row>
    <row r="4" spans="1:5" x14ac:dyDescent="0.3">
      <c r="A4">
        <v>3</v>
      </c>
      <c r="B4" t="s">
        <v>5</v>
      </c>
      <c r="C4">
        <v>97</v>
      </c>
      <c r="D4">
        <v>15</v>
      </c>
      <c r="E4">
        <v>18</v>
      </c>
    </row>
    <row r="5" spans="1:5" x14ac:dyDescent="0.3">
      <c r="A5">
        <v>4</v>
      </c>
      <c r="B5" t="s">
        <v>6</v>
      </c>
      <c r="C5">
        <v>71</v>
      </c>
      <c r="D5">
        <v>10</v>
      </c>
      <c r="E5">
        <v>11</v>
      </c>
    </row>
    <row r="6" spans="1:5" x14ac:dyDescent="0.3">
      <c r="A6">
        <v>5</v>
      </c>
      <c r="B6" t="s">
        <v>7</v>
      </c>
      <c r="C6">
        <v>66</v>
      </c>
      <c r="D6">
        <v>12</v>
      </c>
      <c r="E6">
        <v>13</v>
      </c>
    </row>
    <row r="7" spans="1:5" x14ac:dyDescent="0.3">
      <c r="A7">
        <v>6</v>
      </c>
      <c r="B7" t="s">
        <v>8</v>
      </c>
      <c r="C7">
        <v>95</v>
      </c>
      <c r="D7">
        <v>17</v>
      </c>
      <c r="E7">
        <v>23</v>
      </c>
    </row>
    <row r="8" spans="1:5" x14ac:dyDescent="0.3">
      <c r="A8">
        <v>7</v>
      </c>
      <c r="B8" t="s">
        <v>9</v>
      </c>
      <c r="C8">
        <v>80</v>
      </c>
      <c r="D8">
        <v>15</v>
      </c>
      <c r="E8">
        <v>16</v>
      </c>
    </row>
    <row r="9" spans="1:5" x14ac:dyDescent="0.3">
      <c r="A9">
        <v>8</v>
      </c>
      <c r="B9" t="s">
        <v>10</v>
      </c>
      <c r="C9">
        <v>100</v>
      </c>
      <c r="D9">
        <v>17</v>
      </c>
      <c r="E9">
        <v>25</v>
      </c>
    </row>
    <row r="10" spans="1:5" x14ac:dyDescent="0.3">
      <c r="A10">
        <v>9</v>
      </c>
      <c r="B10" t="s">
        <v>11</v>
      </c>
      <c r="C10">
        <v>113</v>
      </c>
      <c r="D10">
        <v>20</v>
      </c>
      <c r="E10">
        <v>24</v>
      </c>
    </row>
    <row r="11" spans="1:5" x14ac:dyDescent="0.3">
      <c r="A11">
        <v>10</v>
      </c>
      <c r="B11" t="s">
        <v>12</v>
      </c>
      <c r="C11">
        <v>105</v>
      </c>
      <c r="D11">
        <v>20</v>
      </c>
      <c r="E11">
        <v>24</v>
      </c>
    </row>
    <row r="12" spans="1:5" x14ac:dyDescent="0.3">
      <c r="A12">
        <v>11</v>
      </c>
      <c r="B12" t="s">
        <v>13</v>
      </c>
      <c r="C12">
        <v>100</v>
      </c>
      <c r="D12">
        <v>15</v>
      </c>
      <c r="E12">
        <v>20</v>
      </c>
    </row>
    <row r="13" spans="1:5" x14ac:dyDescent="0.3">
      <c r="A13">
        <v>12</v>
      </c>
      <c r="B13" t="s">
        <v>14</v>
      </c>
      <c r="C13">
        <v>74</v>
      </c>
      <c r="D13">
        <v>11</v>
      </c>
      <c r="E13">
        <v>16</v>
      </c>
    </row>
    <row r="14" spans="1:5" x14ac:dyDescent="0.3">
      <c r="A14">
        <v>13</v>
      </c>
      <c r="B14" t="s">
        <v>15</v>
      </c>
      <c r="C14">
        <v>64</v>
      </c>
      <c r="D14">
        <v>11</v>
      </c>
      <c r="E14">
        <v>12</v>
      </c>
    </row>
    <row r="15" spans="1:5" x14ac:dyDescent="0.3">
      <c r="A15">
        <v>14</v>
      </c>
      <c r="B15" t="s">
        <v>16</v>
      </c>
      <c r="C15">
        <v>49</v>
      </c>
      <c r="D15">
        <v>9</v>
      </c>
      <c r="E15">
        <v>11</v>
      </c>
    </row>
    <row r="16" spans="1:5" x14ac:dyDescent="0.3">
      <c r="A16">
        <v>15</v>
      </c>
      <c r="B16" t="s">
        <v>17</v>
      </c>
      <c r="C16">
        <v>64</v>
      </c>
      <c r="D16">
        <v>12</v>
      </c>
      <c r="E16">
        <v>15</v>
      </c>
    </row>
    <row r="17" spans="1:6" x14ac:dyDescent="0.3">
      <c r="A17">
        <v>16</v>
      </c>
      <c r="B17" t="s">
        <v>18</v>
      </c>
      <c r="C17">
        <v>63</v>
      </c>
      <c r="D17">
        <v>9</v>
      </c>
      <c r="E17">
        <v>12</v>
      </c>
    </row>
    <row r="18" spans="1:6" x14ac:dyDescent="0.3">
      <c r="A18">
        <v>17</v>
      </c>
      <c r="B18" t="s">
        <v>19</v>
      </c>
      <c r="C18">
        <v>77</v>
      </c>
      <c r="D18">
        <v>14</v>
      </c>
      <c r="E18">
        <v>18</v>
      </c>
    </row>
    <row r="19" spans="1:6" x14ac:dyDescent="0.3">
      <c r="A19">
        <v>18</v>
      </c>
      <c r="B19" t="s">
        <v>20</v>
      </c>
      <c r="C19">
        <v>131</v>
      </c>
      <c r="D19">
        <v>20</v>
      </c>
      <c r="E19">
        <v>24</v>
      </c>
    </row>
    <row r="20" spans="1:6" x14ac:dyDescent="0.3">
      <c r="A20">
        <v>19</v>
      </c>
      <c r="B20" t="s">
        <v>21</v>
      </c>
      <c r="C20">
        <v>52</v>
      </c>
      <c r="D20">
        <v>8</v>
      </c>
      <c r="E20">
        <v>10</v>
      </c>
    </row>
    <row r="21" spans="1:6" x14ac:dyDescent="0.3">
      <c r="A21">
        <v>20</v>
      </c>
      <c r="B21" t="s">
        <v>22</v>
      </c>
      <c r="C21">
        <v>196</v>
      </c>
      <c r="D21">
        <v>33</v>
      </c>
      <c r="E21">
        <v>37</v>
      </c>
    </row>
    <row r="23" spans="1:6" x14ac:dyDescent="0.3">
      <c r="D23" t="s">
        <v>23</v>
      </c>
      <c r="E23">
        <f>ROUND(AVERAGE(E2:E21),0)</f>
        <v>18</v>
      </c>
      <c r="F23" t="s">
        <v>31</v>
      </c>
    </row>
    <row r="24" spans="1:6" x14ac:dyDescent="0.3">
      <c r="D24" t="s">
        <v>30</v>
      </c>
      <c r="E24" cm="1">
        <f t="array" ref="E24">MAX((E2:E21)-E23)</f>
        <v>19</v>
      </c>
      <c r="F24">
        <f>E24+E23</f>
        <v>37</v>
      </c>
    </row>
    <row r="25" spans="1:6" x14ac:dyDescent="0.3">
      <c r="D25" t="s">
        <v>32</v>
      </c>
      <c r="E25" cm="1">
        <f t="array" ref="E25">MIN((E2:E21)-E23)</f>
        <v>-8</v>
      </c>
      <c r="F25">
        <f>E25+E23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C467-4A3A-43BC-B53F-88B1A08C576F}">
  <dimension ref="A1:E25"/>
  <sheetViews>
    <sheetView workbookViewId="0">
      <selection activeCell="H19" sqref="H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 t="s">
        <v>3</v>
      </c>
      <c r="C2">
        <v>2.3199999999999998</v>
      </c>
      <c r="D2">
        <v>3.53</v>
      </c>
      <c r="E2">
        <v>2.4900000000000002</v>
      </c>
    </row>
    <row r="3" spans="1:5" x14ac:dyDescent="0.3">
      <c r="A3">
        <v>2</v>
      </c>
      <c r="B3" t="s">
        <v>4</v>
      </c>
      <c r="C3">
        <v>2.2799999999999998</v>
      </c>
      <c r="D3">
        <v>3.39</v>
      </c>
      <c r="E3">
        <v>4.84</v>
      </c>
    </row>
    <row r="4" spans="1:5" x14ac:dyDescent="0.3">
      <c r="A4">
        <v>3</v>
      </c>
      <c r="B4" t="s">
        <v>5</v>
      </c>
      <c r="C4">
        <v>3.25</v>
      </c>
      <c r="D4">
        <v>2.85</v>
      </c>
      <c r="E4">
        <v>2.59</v>
      </c>
    </row>
    <row r="5" spans="1:5" x14ac:dyDescent="0.3">
      <c r="A5">
        <v>4</v>
      </c>
      <c r="B5" t="s">
        <v>6</v>
      </c>
      <c r="C5">
        <v>2.56</v>
      </c>
      <c r="D5">
        <v>2.87</v>
      </c>
      <c r="E5">
        <v>2.5499999999999998</v>
      </c>
    </row>
    <row r="6" spans="1:5" x14ac:dyDescent="0.3">
      <c r="A6">
        <v>5</v>
      </c>
      <c r="B6" t="s">
        <v>7</v>
      </c>
      <c r="C6">
        <v>3.36</v>
      </c>
      <c r="D6">
        <v>2.36</v>
      </c>
      <c r="E6">
        <v>2.36</v>
      </c>
    </row>
    <row r="7" spans="1:5" x14ac:dyDescent="0.3">
      <c r="A7">
        <v>6</v>
      </c>
      <c r="B7" t="s">
        <v>8</v>
      </c>
      <c r="C7">
        <v>2.96</v>
      </c>
      <c r="D7">
        <v>2.44</v>
      </c>
      <c r="E7">
        <v>4.74</v>
      </c>
    </row>
    <row r="8" spans="1:5" x14ac:dyDescent="0.3">
      <c r="A8">
        <v>7</v>
      </c>
      <c r="B8" t="s">
        <v>9</v>
      </c>
      <c r="C8">
        <v>3.43</v>
      </c>
      <c r="D8">
        <v>2.88</v>
      </c>
      <c r="E8">
        <v>3.6</v>
      </c>
    </row>
    <row r="9" spans="1:5" x14ac:dyDescent="0.3">
      <c r="A9">
        <v>8</v>
      </c>
      <c r="B9" t="s">
        <v>10</v>
      </c>
      <c r="C9">
        <v>2.54</v>
      </c>
      <c r="D9">
        <v>2.62</v>
      </c>
      <c r="E9">
        <v>2.4900000000000002</v>
      </c>
    </row>
    <row r="10" spans="1:5" x14ac:dyDescent="0.3">
      <c r="A10">
        <v>9</v>
      </c>
      <c r="B10" t="s">
        <v>11</v>
      </c>
      <c r="C10">
        <v>1.79</v>
      </c>
      <c r="D10">
        <v>1.68</v>
      </c>
      <c r="E10">
        <v>1.76</v>
      </c>
    </row>
    <row r="11" spans="1:5" x14ac:dyDescent="0.3">
      <c r="A11">
        <v>10</v>
      </c>
      <c r="B11" t="s">
        <v>12</v>
      </c>
      <c r="C11">
        <v>2.38</v>
      </c>
      <c r="D11">
        <v>2.96</v>
      </c>
      <c r="E11">
        <v>2.58</v>
      </c>
    </row>
    <row r="12" spans="1:5" x14ac:dyDescent="0.3">
      <c r="A12">
        <v>11</v>
      </c>
      <c r="B12" t="s">
        <v>13</v>
      </c>
      <c r="C12">
        <v>2.86</v>
      </c>
      <c r="D12">
        <v>2.71</v>
      </c>
      <c r="E12">
        <v>2.86</v>
      </c>
    </row>
    <row r="13" spans="1:5" x14ac:dyDescent="0.3">
      <c r="A13">
        <v>12</v>
      </c>
      <c r="B13" t="s">
        <v>14</v>
      </c>
      <c r="C13">
        <v>4.22</v>
      </c>
      <c r="D13">
        <v>5.85</v>
      </c>
      <c r="E13">
        <v>1.77</v>
      </c>
    </row>
    <row r="14" spans="1:5" x14ac:dyDescent="0.3">
      <c r="A14">
        <v>13</v>
      </c>
      <c r="B14" t="s">
        <v>15</v>
      </c>
      <c r="C14">
        <v>2.2799999999999998</v>
      </c>
      <c r="D14">
        <v>2.37</v>
      </c>
      <c r="E14">
        <v>2.54</v>
      </c>
    </row>
    <row r="15" spans="1:5" x14ac:dyDescent="0.3">
      <c r="A15">
        <v>14</v>
      </c>
      <c r="B15" t="s">
        <v>16</v>
      </c>
      <c r="C15">
        <v>1.81</v>
      </c>
      <c r="D15">
        <v>1.84</v>
      </c>
      <c r="E15">
        <v>1.84</v>
      </c>
    </row>
    <row r="16" spans="1:5" x14ac:dyDescent="0.3">
      <c r="A16">
        <v>15</v>
      </c>
      <c r="B16" t="s">
        <v>17</v>
      </c>
      <c r="C16">
        <v>2.68</v>
      </c>
      <c r="D16">
        <v>2.81</v>
      </c>
      <c r="E16">
        <v>2.57</v>
      </c>
    </row>
    <row r="17" spans="1:5" x14ac:dyDescent="0.3">
      <c r="A17">
        <v>16</v>
      </c>
      <c r="B17" t="s">
        <v>18</v>
      </c>
      <c r="C17">
        <v>2.46</v>
      </c>
      <c r="D17">
        <v>2.2599999999999998</v>
      </c>
      <c r="E17">
        <v>2.02</v>
      </c>
    </row>
    <row r="18" spans="1:5" x14ac:dyDescent="0.3">
      <c r="A18">
        <v>17</v>
      </c>
      <c r="B18" t="s">
        <v>19</v>
      </c>
      <c r="C18">
        <v>1.56</v>
      </c>
      <c r="D18">
        <v>1.1000000000000001</v>
      </c>
      <c r="E18">
        <v>1.3</v>
      </c>
    </row>
    <row r="19" spans="1:5" x14ac:dyDescent="0.3">
      <c r="A19">
        <v>18</v>
      </c>
      <c r="B19" t="s">
        <v>20</v>
      </c>
      <c r="C19">
        <v>1.41</v>
      </c>
      <c r="D19">
        <v>1.3</v>
      </c>
      <c r="E19">
        <v>1.39</v>
      </c>
    </row>
    <row r="20" spans="1:5" x14ac:dyDescent="0.3">
      <c r="A20">
        <v>19</v>
      </c>
      <c r="B20" t="s">
        <v>21</v>
      </c>
      <c r="C20">
        <v>2.64</v>
      </c>
      <c r="D20">
        <v>2.52</v>
      </c>
      <c r="E20">
        <v>2.57</v>
      </c>
    </row>
    <row r="21" spans="1:5" x14ac:dyDescent="0.3">
      <c r="A21">
        <v>20</v>
      </c>
      <c r="B21" t="s">
        <v>22</v>
      </c>
      <c r="C21">
        <v>1.65</v>
      </c>
      <c r="D21">
        <v>1.31</v>
      </c>
      <c r="E21">
        <v>1.23</v>
      </c>
    </row>
    <row r="22" spans="1:5" x14ac:dyDescent="0.3">
      <c r="A22" t="s">
        <v>23</v>
      </c>
      <c r="C22">
        <v>2.52</v>
      </c>
      <c r="D22">
        <v>2.58</v>
      </c>
      <c r="E22">
        <v>2.5</v>
      </c>
    </row>
    <row r="23" spans="1:5" x14ac:dyDescent="0.3">
      <c r="A23" t="s">
        <v>24</v>
      </c>
      <c r="C23">
        <v>2.54</v>
      </c>
    </row>
    <row r="24" spans="1:5" x14ac:dyDescent="0.3">
      <c r="A24" t="s">
        <v>29</v>
      </c>
      <c r="C24" cm="1">
        <f t="array" ref="C24">MAX((C2:E21)-C23)</f>
        <v>3.3099999999999996</v>
      </c>
      <c r="D24">
        <f>C24+C23</f>
        <v>5.85</v>
      </c>
    </row>
    <row r="25" spans="1:5" x14ac:dyDescent="0.3">
      <c r="A25" t="s">
        <v>29</v>
      </c>
      <c r="C25" cm="1">
        <f t="array" ref="C25">ABS(MIN((C3:E22)-C23))</f>
        <v>1.44</v>
      </c>
      <c r="D25">
        <f>C23-C25</f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A5B5-932A-4EF5-9CC2-9A098D4563D7}">
  <dimension ref="A1:D25"/>
  <sheetViews>
    <sheetView tabSelected="1" workbookViewId="0">
      <selection activeCell="F24" sqref="F24"/>
    </sheetView>
  </sheetViews>
  <sheetFormatPr defaultRowHeight="14.4" x14ac:dyDescent="0.3"/>
  <cols>
    <col min="2" max="2" width="1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>
        <v>1</v>
      </c>
      <c r="B2">
        <v>706</v>
      </c>
    </row>
    <row r="3" spans="1:2" x14ac:dyDescent="0.3">
      <c r="A3">
        <v>2</v>
      </c>
      <c r="B3">
        <v>601</v>
      </c>
    </row>
    <row r="4" spans="1:2" x14ac:dyDescent="0.3">
      <c r="A4">
        <v>3</v>
      </c>
      <c r="B4">
        <v>383</v>
      </c>
    </row>
    <row r="5" spans="1:2" x14ac:dyDescent="0.3">
      <c r="A5">
        <v>4</v>
      </c>
      <c r="B5">
        <v>923</v>
      </c>
    </row>
    <row r="6" spans="1:2" x14ac:dyDescent="0.3">
      <c r="A6">
        <v>5</v>
      </c>
      <c r="B6">
        <v>590</v>
      </c>
    </row>
    <row r="7" spans="1:2" x14ac:dyDescent="0.3">
      <c r="A7">
        <v>6</v>
      </c>
      <c r="B7">
        <v>688</v>
      </c>
    </row>
    <row r="8" spans="1:2" x14ac:dyDescent="0.3">
      <c r="A8">
        <v>7</v>
      </c>
      <c r="B8">
        <v>619</v>
      </c>
    </row>
    <row r="9" spans="1:2" x14ac:dyDescent="0.3">
      <c r="A9">
        <v>8</v>
      </c>
      <c r="B9">
        <v>580</v>
      </c>
    </row>
    <row r="10" spans="1:2" x14ac:dyDescent="0.3">
      <c r="A10">
        <v>9</v>
      </c>
      <c r="B10">
        <v>121</v>
      </c>
    </row>
    <row r="11" spans="1:2" x14ac:dyDescent="0.3">
      <c r="A11">
        <v>10</v>
      </c>
      <c r="B11">
        <v>1357</v>
      </c>
    </row>
    <row r="12" spans="1:2" x14ac:dyDescent="0.3">
      <c r="A12">
        <v>11</v>
      </c>
      <c r="B12">
        <v>294</v>
      </c>
    </row>
    <row r="13" spans="1:2" x14ac:dyDescent="0.3">
      <c r="A13">
        <v>12</v>
      </c>
      <c r="B13">
        <v>1315</v>
      </c>
    </row>
    <row r="14" spans="1:2" x14ac:dyDescent="0.3">
      <c r="A14">
        <v>13</v>
      </c>
      <c r="B14">
        <v>723</v>
      </c>
    </row>
    <row r="15" spans="1:2" x14ac:dyDescent="0.3">
      <c r="A15">
        <v>14</v>
      </c>
      <c r="B15">
        <v>16</v>
      </c>
    </row>
    <row r="16" spans="1:2" x14ac:dyDescent="0.3">
      <c r="A16">
        <v>15</v>
      </c>
      <c r="B16">
        <v>558</v>
      </c>
    </row>
    <row r="17" spans="1:4" x14ac:dyDescent="0.3">
      <c r="A17">
        <v>16</v>
      </c>
      <c r="B17">
        <v>829</v>
      </c>
    </row>
    <row r="18" spans="1:4" x14ac:dyDescent="0.3">
      <c r="A18">
        <v>17</v>
      </c>
      <c r="B18">
        <v>259</v>
      </c>
    </row>
    <row r="19" spans="1:4" x14ac:dyDescent="0.3">
      <c r="A19">
        <v>18</v>
      </c>
      <c r="B19">
        <v>123</v>
      </c>
    </row>
    <row r="20" spans="1:4" x14ac:dyDescent="0.3">
      <c r="A20">
        <v>19</v>
      </c>
      <c r="B20">
        <v>941</v>
      </c>
    </row>
    <row r="21" spans="1:4" x14ac:dyDescent="0.3">
      <c r="A21">
        <v>20</v>
      </c>
      <c r="B21">
        <v>120</v>
      </c>
    </row>
    <row r="22" spans="1:4" x14ac:dyDescent="0.3">
      <c r="A22" t="s">
        <v>23</v>
      </c>
      <c r="B22">
        <f>AVERAGE(B2:B21)</f>
        <v>587.29999999999995</v>
      </c>
    </row>
    <row r="24" spans="1:4" x14ac:dyDescent="0.3">
      <c r="B24" t="s">
        <v>30</v>
      </c>
      <c r="C24" cm="1">
        <f t="array" ref="C24">MAX((B2:B21)-B22)</f>
        <v>769.7</v>
      </c>
      <c r="D24">
        <f>C24+B22</f>
        <v>1357</v>
      </c>
    </row>
    <row r="25" spans="1:4" x14ac:dyDescent="0.3">
      <c r="B25" t="s">
        <v>32</v>
      </c>
      <c r="C25" cm="1">
        <f t="array" ref="C25">MIN((B2:B21)-B22)</f>
        <v>-571.29999999999995</v>
      </c>
      <c r="D25">
        <f>C25+B22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PromptsToTokens</vt:lpstr>
      <vt:lpstr>PromptsToTimes</vt:lpstr>
      <vt:lpstr>ResponseTokens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Hernandez</cp:lastModifiedBy>
  <dcterms:created xsi:type="dcterms:W3CDTF">2025-11-29T19:47:01Z</dcterms:created>
  <dcterms:modified xsi:type="dcterms:W3CDTF">2025-12-03T02:05:55Z</dcterms:modified>
</cp:coreProperties>
</file>