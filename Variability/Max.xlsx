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doo\OneDrive\Desktop\All\YOU and I\Year 4\Sus Computing\Coursework\2025-CW-iu22229\Variability\"/>
    </mc:Choice>
  </mc:AlternateContent>
  <xr:revisionPtr revIDLastSave="0" documentId="13_ncr:1_{DDA1441F-E596-40C0-BA5E-8FF536E9C232}" xr6:coauthVersionLast="47" xr6:coauthVersionMax="47" xr10:uidLastSave="{00000000-0000-0000-0000-000000000000}"/>
  <bookViews>
    <workbookView xWindow="-108" yWindow="-108" windowWidth="23256" windowHeight="12456" activeTab="4" xr2:uid="{8C31E949-CF5E-4C69-B609-E85559661391}"/>
  </bookViews>
  <sheets>
    <sheet name="Data" sheetId="1" r:id="rId1"/>
    <sheet name="Devices" sheetId="2" r:id="rId2"/>
    <sheet name="Network" sheetId="4" r:id="rId3"/>
    <sheet name="Datacentre" sheetId="5" r:id="rId4"/>
    <sheet name="Total" sheetId="6" r:id="rId5"/>
    <sheet name="Variability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 a="1"/>
  <c r="E25" i="1" s="1"/>
  <c r="E22" i="1" a="1"/>
  <c r="E22" i="1" s="1"/>
  <c r="E18" i="1"/>
  <c r="E16" i="1"/>
  <c r="E14" i="1"/>
  <c r="P30" i="7"/>
  <c r="S30" i="7" s="1"/>
  <c r="O30" i="7"/>
  <c r="N30" i="7"/>
  <c r="R30" i="7" s="1"/>
  <c r="P29" i="7"/>
  <c r="S29" i="7" s="1"/>
  <c r="O29" i="7"/>
  <c r="N29" i="7"/>
  <c r="R29" i="7" s="1"/>
  <c r="P28" i="7"/>
  <c r="S28" i="7" s="1"/>
  <c r="O28" i="7"/>
  <c r="N28" i="7"/>
  <c r="R28" i="7" s="1"/>
  <c r="S26" i="7"/>
  <c r="P26" i="7"/>
  <c r="O26" i="7"/>
  <c r="N26" i="7"/>
  <c r="R26" i="7" s="1"/>
  <c r="P25" i="7"/>
  <c r="S25" i="7" s="1"/>
  <c r="O25" i="7"/>
  <c r="N25" i="7"/>
  <c r="R25" i="7" s="1"/>
  <c r="P24" i="7"/>
  <c r="S24" i="7" s="1"/>
  <c r="O24" i="7"/>
  <c r="N24" i="7"/>
  <c r="R24" i="7" s="1"/>
  <c r="S23" i="7"/>
  <c r="R23" i="7"/>
  <c r="P23" i="7"/>
  <c r="O23" i="7"/>
  <c r="N23" i="7"/>
  <c r="S22" i="7"/>
  <c r="P22" i="7"/>
  <c r="O22" i="7"/>
  <c r="N22" i="7"/>
  <c r="R22" i="7" s="1"/>
  <c r="P21" i="7"/>
  <c r="S21" i="7" s="1"/>
  <c r="O21" i="7"/>
  <c r="N21" i="7"/>
  <c r="R21" i="7" s="1"/>
  <c r="S19" i="7"/>
  <c r="R19" i="7"/>
  <c r="P19" i="7"/>
  <c r="O19" i="7"/>
  <c r="N19" i="7"/>
  <c r="S18" i="7"/>
  <c r="R18" i="7"/>
  <c r="P18" i="7"/>
  <c r="O18" i="7"/>
  <c r="N18" i="7"/>
  <c r="P17" i="7"/>
  <c r="O17" i="7"/>
  <c r="N17" i="7"/>
  <c r="P16" i="7"/>
  <c r="S16" i="7" s="1"/>
  <c r="O16" i="7"/>
  <c r="N16" i="7"/>
  <c r="R16" i="7" s="1"/>
  <c r="O15" i="7"/>
  <c r="N15" i="7"/>
  <c r="R15" i="7" s="1"/>
  <c r="I15" i="7"/>
  <c r="P15" i="7" s="1"/>
  <c r="S15" i="7" s="1"/>
  <c r="H15" i="7"/>
  <c r="P14" i="7"/>
  <c r="S14" i="7" s="1"/>
  <c r="O14" i="7"/>
  <c r="N14" i="7"/>
  <c r="R14" i="7" s="1"/>
  <c r="P13" i="7"/>
  <c r="O13" i="7"/>
  <c r="N13" i="7"/>
  <c r="R12" i="7"/>
  <c r="O12" i="7"/>
  <c r="N12" i="7"/>
  <c r="I12" i="7"/>
  <c r="P12" i="7" s="1"/>
  <c r="S12" i="7" s="1"/>
  <c r="H12" i="7"/>
  <c r="P10" i="7"/>
  <c r="N10" i="7"/>
  <c r="E10" i="7"/>
  <c r="O10" i="7" s="1"/>
  <c r="S9" i="7"/>
  <c r="R9" i="7"/>
  <c r="R8" i="7"/>
  <c r="P8" i="7"/>
  <c r="S8" i="7" s="1"/>
  <c r="O8" i="7"/>
  <c r="N8" i="7"/>
  <c r="J8" i="7"/>
  <c r="O7" i="7"/>
  <c r="I7" i="7"/>
  <c r="P7" i="7" s="1"/>
  <c r="S7" i="7" s="1"/>
  <c r="H7" i="7"/>
  <c r="N7" i="7" s="1"/>
  <c r="R7" i="7" s="1"/>
  <c r="R10" i="7" l="1"/>
  <c r="S10" i="7"/>
  <c r="E12" i="1" l="1"/>
  <c r="E7" i="1" a="1"/>
  <c r="E7" i="1" s="1"/>
  <c r="I12" i="1"/>
  <c r="H12" i="1"/>
  <c r="J8" i="1"/>
  <c r="I15" i="1"/>
  <c r="H15" i="1"/>
  <c r="H7" i="1"/>
  <c r="I7" i="1"/>
  <c r="F17" i="5"/>
  <c r="F15" i="5" a="1"/>
  <c r="F15" i="5" s="1"/>
  <c r="F14" i="5" a="1"/>
  <c r="F14" i="5" s="1"/>
  <c r="F5" i="5"/>
  <c r="F23" i="4" a="1"/>
  <c r="F23" i="4" s="1"/>
  <c r="G22" i="4"/>
  <c r="F17" i="4"/>
  <c r="G17" i="4"/>
  <c r="F13" i="4"/>
  <c r="F4" i="4"/>
  <c r="F6" i="4" a="1"/>
  <c r="G15" i="4" s="1"/>
  <c r="F5" i="4" a="1"/>
  <c r="F5" i="4" s="1"/>
  <c r="F14" i="4" s="1"/>
  <c r="F7" i="4" a="1"/>
  <c r="F7" i="4" s="1"/>
  <c r="F16" i="4" s="1"/>
  <c r="F26" i="2" a="1"/>
  <c r="F26" i="2" s="1"/>
  <c r="F25" i="2" a="1"/>
  <c r="F25" i="2" s="1"/>
  <c r="F16" i="2"/>
  <c r="F17" i="2" a="1"/>
  <c r="F17" i="2" s="1"/>
  <c r="F15" i="2" a="1"/>
  <c r="F15" i="2" s="1"/>
  <c r="F14" i="2" a="1"/>
  <c r="F14" i="2" s="1"/>
  <c r="G8" i="2"/>
  <c r="G19" i="2" s="1"/>
  <c r="F6" i="2"/>
  <c r="F5" i="2"/>
  <c r="G6" i="2"/>
  <c r="G5" i="2"/>
  <c r="G4" i="2"/>
  <c r="F4" i="2"/>
  <c r="E10" i="1"/>
  <c r="F6" i="5" s="1" a="1"/>
  <c r="F6" i="5" s="1"/>
  <c r="F26" i="4" l="1" a="1"/>
  <c r="F26" i="4" s="1"/>
  <c r="E19" i="5" s="1" a="1"/>
  <c r="E19" i="5" s="1"/>
  <c r="F8" i="5"/>
  <c r="F8" i="2"/>
  <c r="F19" i="2" s="1"/>
  <c r="F21" i="2" s="1"/>
  <c r="F9" i="2" a="1"/>
  <c r="F9" i="2" s="1"/>
  <c r="F20" i="2" s="1"/>
  <c r="F7" i="5"/>
  <c r="G8" i="5"/>
  <c r="G14" i="4"/>
  <c r="G16" i="4"/>
  <c r="F6" i="4"/>
  <c r="F15" i="4" s="1"/>
  <c r="F18" i="4" s="1"/>
  <c r="G20" i="2"/>
  <c r="F10" i="2" l="1"/>
  <c r="E16" i="5" a="1"/>
  <c r="E16" i="5" s="1"/>
  <c r="F10" i="5"/>
  <c r="F28" i="2"/>
  <c r="E5" i="6" s="1" a="1"/>
  <c r="F9" i="4"/>
  <c r="F22" i="4" s="1"/>
  <c r="F25" i="4" s="1"/>
  <c r="F27" i="4" s="1"/>
  <c r="E6" i="6" s="1" a="1"/>
  <c r="F18" i="5" l="1"/>
  <c r="F21" i="5" s="1"/>
  <c r="F25" i="5" s="1"/>
  <c r="K22" i="5" s="1"/>
  <c r="E6" i="6"/>
  <c r="E5" i="6"/>
  <c r="K21" i="5" l="1"/>
  <c r="E7" i="6" a="1"/>
  <c r="E7" i="6" s="1"/>
  <c r="F8" i="6" l="1"/>
  <c r="F12" i="6" s="1"/>
  <c r="G8" i="6"/>
  <c r="F13" i="6" l="1"/>
  <c r="F18" i="6" s="1"/>
  <c r="F11" i="6"/>
  <c r="F17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<sst xmlns="http://schemas.openxmlformats.org/spreadsheetml/2006/main" count="296" uniqueCount="118">
  <si>
    <t>INPUTS</t>
  </si>
  <si>
    <t>UNITS</t>
  </si>
  <si>
    <t>VALUE</t>
  </si>
  <si>
    <t>Devices Data</t>
  </si>
  <si>
    <t>Phone</t>
  </si>
  <si>
    <t>Lifespan</t>
  </si>
  <si>
    <t>Daily use time</t>
  </si>
  <si>
    <t>Laptop</t>
  </si>
  <si>
    <t>years</t>
  </si>
  <si>
    <t>hh:mm</t>
  </si>
  <si>
    <t>W</t>
  </si>
  <si>
    <t>General Data</t>
  </si>
  <si>
    <t>Inference time</t>
  </si>
  <si>
    <t>Power usage</t>
  </si>
  <si>
    <t>sec/FU</t>
  </si>
  <si>
    <t>Avrg</t>
  </si>
  <si>
    <t>Conversion Factors</t>
  </si>
  <si>
    <t>Sec</t>
  </si>
  <si>
    <t>per year</t>
  </si>
  <si>
    <t>sec/year</t>
  </si>
  <si>
    <t>Market share</t>
  </si>
  <si>
    <t>%</t>
  </si>
  <si>
    <t>tokens</t>
  </si>
  <si>
    <t>Avrg tokens</t>
  </si>
  <si>
    <t>Chars to bytes</t>
  </si>
  <si>
    <t>Tokens to chars</t>
  </si>
  <si>
    <t>Overhead</t>
  </si>
  <si>
    <t>General</t>
  </si>
  <si>
    <t>Query</t>
  </si>
  <si>
    <t>Response</t>
  </si>
  <si>
    <t>Energy intensity</t>
  </si>
  <si>
    <t>CO2 intensity</t>
  </si>
  <si>
    <t>UK</t>
  </si>
  <si>
    <t>char/token</t>
  </si>
  <si>
    <t>byte/char</t>
  </si>
  <si>
    <t>kB</t>
  </si>
  <si>
    <t>kWh/GB</t>
  </si>
  <si>
    <t>gCO2eq/kWh</t>
  </si>
  <si>
    <t>Network Data</t>
  </si>
  <si>
    <t>Datacentre Data</t>
  </si>
  <si>
    <t>kgCO2eq</t>
  </si>
  <si>
    <t>Embodied</t>
  </si>
  <si>
    <t>6 year emissions</t>
  </si>
  <si>
    <t>Operational</t>
  </si>
  <si>
    <t>PUE</t>
  </si>
  <si>
    <t>None</t>
  </si>
  <si>
    <t>Datacentre</t>
  </si>
  <si>
    <t>DATA</t>
  </si>
  <si>
    <t>kgCO2eq/year</t>
  </si>
  <si>
    <t>GWP per year</t>
  </si>
  <si>
    <t>Seconds per year</t>
  </si>
  <si>
    <t>Allocated emissions</t>
  </si>
  <si>
    <t>kgCO2eq/FU</t>
  </si>
  <si>
    <t>PHONE</t>
  </si>
  <si>
    <t>LAPTOP</t>
  </si>
  <si>
    <t>hours</t>
  </si>
  <si>
    <t>Phone share</t>
  </si>
  <si>
    <t>Laptop share</t>
  </si>
  <si>
    <t>TOTAL</t>
  </si>
  <si>
    <t>QUERY</t>
  </si>
  <si>
    <t>Average Tokens</t>
  </si>
  <si>
    <t>Tokens to Chars</t>
  </si>
  <si>
    <t>Chars to Bytes</t>
  </si>
  <si>
    <t>Packet size</t>
  </si>
  <si>
    <t>Bytes to kB</t>
  </si>
  <si>
    <t>byte/kB</t>
  </si>
  <si>
    <t>tokens/FU</t>
  </si>
  <si>
    <t>kB/FU</t>
  </si>
  <si>
    <t>RESPONSE</t>
  </si>
  <si>
    <t>Total kB</t>
  </si>
  <si>
    <t>UK energy intensity</t>
  </si>
  <si>
    <t>Operational energy</t>
  </si>
  <si>
    <t>kB to GB</t>
  </si>
  <si>
    <t>kB/GB</t>
  </si>
  <si>
    <t>kWh/FU</t>
  </si>
  <si>
    <t>UK CO2 intensity</t>
  </si>
  <si>
    <t>Network GWP</t>
  </si>
  <si>
    <t>Device GWP</t>
  </si>
  <si>
    <t>gCO2eq/FU</t>
  </si>
  <si>
    <t>g to kg</t>
  </si>
  <si>
    <t>g/kg</t>
  </si>
  <si>
    <t>6 years emissions</t>
  </si>
  <si>
    <t>EMBODIED</t>
  </si>
  <si>
    <t>Emissions per sec</t>
  </si>
  <si>
    <t>kgCO2eq/6 years</t>
  </si>
  <si>
    <t>kgCO2eq/sec</t>
  </si>
  <si>
    <t>Energy for FU</t>
  </si>
  <si>
    <t>Seconds per hour</t>
  </si>
  <si>
    <t>sec/h</t>
  </si>
  <si>
    <t>Wh/FU</t>
  </si>
  <si>
    <t>Operational GWP</t>
  </si>
  <si>
    <t>W per kW</t>
  </si>
  <si>
    <t>W/kW</t>
  </si>
  <si>
    <t>Datacentre GWP</t>
  </si>
  <si>
    <t>Total GWP</t>
  </si>
  <si>
    <t>OPERATIONAL</t>
  </si>
  <si>
    <t>Embodied GWP</t>
  </si>
  <si>
    <t>VARIABILITY</t>
  </si>
  <si>
    <t>secs</t>
  </si>
  <si>
    <t>MIN</t>
  </si>
  <si>
    <t>MAX</t>
  </si>
  <si>
    <t>account for average human reaction speed</t>
  </si>
  <si>
    <t>bytes</t>
  </si>
  <si>
    <t>??</t>
  </si>
  <si>
    <t>Old metric, oldest data in webpage is from 2023</t>
  </si>
  <si>
    <t>No given bounds</t>
  </si>
  <si>
    <t>phone lifespan</t>
  </si>
  <si>
    <t>phone market share</t>
  </si>
  <si>
    <t>laptop lifespan</t>
  </si>
  <si>
    <t>laptop market share</t>
  </si>
  <si>
    <t>tokens to chars</t>
  </si>
  <si>
    <t>chars to bytes</t>
  </si>
  <si>
    <t>overhead</t>
  </si>
  <si>
    <t>energy intensity</t>
  </si>
  <si>
    <t>Query tokens</t>
  </si>
  <si>
    <t>Response tokens</t>
  </si>
  <si>
    <t>laptop power usage</t>
  </si>
  <si>
    <t>phone power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</si>
</sst>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5" xfId="0" applyBorder="1" applyAlignment="1">
      <alignment horizontal="left"/>
    </xf>
    <xf numFmtId="20" fontId="0" fillId="0" borderId="0" xfId="0" applyNumberFormat="1"/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3" xfId="0" applyBorder="1"/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1" fillId="0" borderId="23" xfId="0" applyFont="1" applyBorder="1"/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2" xfId="0" applyFont="1" applyBorder="1" applyAlignment="1">
      <alignment horizontal="right"/>
    </xf>
    <xf numFmtId="0" fontId="1" fillId="0" borderId="23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9" xfId="0" applyBorder="1"/>
    <xf numFmtId="0" fontId="0" fillId="0" borderId="15" xfId="0" applyBorder="1"/>
    <xf numFmtId="0" fontId="0" fillId="0" borderId="6" xfId="0" applyBorder="1"/>
    <xf numFmtId="11" fontId="0" fillId="0" borderId="7" xfId="0" applyNumberFormat="1" applyBorder="1"/>
    <xf numFmtId="2" fontId="0" fillId="0" borderId="0" xfId="0" applyNumberFormat="1"/>
    <xf numFmtId="11" fontId="0" fillId="0" borderId="22" xfId="0" applyNumberFormat="1" applyBorder="1"/>
    <xf numFmtId="11" fontId="0" fillId="0" borderId="0" xfId="0" applyNumberFormat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0" fontId="0" fillId="0" borderId="1" xfId="0" applyBorder="1"/>
    <xf numFmtId="0" fontId="0" fillId="0" borderId="25" xfId="0" applyBorder="1"/>
    <xf numFmtId="0" fontId="0" fillId="0" borderId="24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1" fontId="0" fillId="0" borderId="16" xfId="0" applyNumberFormat="1" applyBorder="1"/>
    <xf numFmtId="0" fontId="0" fillId="0" borderId="21" xfId="0" applyBorder="1"/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11" fontId="0" fillId="0" borderId="10" xfId="0" applyNumberFormat="1" applyBorder="1"/>
    <xf numFmtId="10" fontId="0" fillId="0" borderId="0" xfId="1" applyNumberFormat="1" applyFont="1"/>
    <xf numFmtId="165" fontId="0" fillId="0" borderId="0" xfId="0" applyNumberFormat="1"/>
    <xf numFmtId="9" fontId="0" fillId="0" borderId="0" xfId="1" applyFont="1"/>
    <xf numFmtId="0" fontId="1" fillId="0" borderId="6" xfId="0" applyFont="1" applyBorder="1"/>
    <xf numFmtId="0" fontId="1" fillId="0" borderId="8" xfId="0" applyFont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2" borderId="0" xfId="1" applyFont="1" applyFill="1"/>
    <xf numFmtId="0" fontId="1" fillId="0" borderId="2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1" fillId="0" borderId="2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 vertical="center" textRotation="90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600"/>
              <a:t>Embodied vs Operational Server Emissions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00-497C-B389-A72A243DF5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00-497C-B389-A72A243DF57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(Datacentre!$E$10,Datacentre!$E$21)</c:f>
              <c:strCache>
                <c:ptCount val="2"/>
                <c:pt idx="0">
                  <c:v>Embodied GWP</c:v>
                </c:pt>
                <c:pt idx="1">
                  <c:v>Operational GWP</c:v>
                </c:pt>
              </c:strCache>
            </c:strRef>
          </c:cat>
          <c:val>
            <c:numRef>
              <c:f>(Datacentre!$F$10,Datacentre!$F$21)</c:f>
              <c:numCache>
                <c:formatCode>0.00E+00</c:formatCode>
                <c:ptCount val="2"/>
                <c:pt idx="0">
                  <c:v>2.2183985262926625E-2</c:v>
                </c:pt>
                <c:pt idx="1">
                  <c:v>7.5359656999999997E-2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F-4513-A298-6C54BE5CD4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PROPORTION OF IMPACTS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06EA-4CF4-BBAA-BE6DC98C3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EA-4CF4-BBAA-BE6DC98C3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9F-43AC-8CBC-0C565624AF8A}"/>
              </c:ext>
            </c:extLst>
          </c:dPt>
          <c:dLbls>
            <c:dLbl>
              <c:idx val="0"/>
              <c:layout>
                <c:manualLayout>
                  <c:x val="-5.1254811898512685E-2"/>
                  <c:y val="0.1563039515893846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EA-4CF4-BBAA-BE6DC98C32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&gt;</a:t>
                    </a:r>
                    <a:fld id="{3F880587-7C95-41BD-99B1-CCF383489C4F}" type="PERCENTAGE">
                      <a:rPr lang="en-US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6EA-4CF4-BBAA-BE6DC98C32B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Total!$E$5:$E$7</c:f>
              <c:strCache>
                <c:ptCount val="3"/>
                <c:pt idx="0">
                  <c:v>Device GWP</c:v>
                </c:pt>
                <c:pt idx="1">
                  <c:v>Network GWP</c:v>
                </c:pt>
                <c:pt idx="2">
                  <c:v>Datacentre GWP</c:v>
                </c:pt>
              </c:strCache>
            </c:strRef>
          </c:cat>
          <c:val>
            <c:numRef>
              <c:f>Total!$F$5:$F$7</c:f>
              <c:numCache>
                <c:formatCode>0.00E+00</c:formatCode>
                <c:ptCount val="3"/>
                <c:pt idx="0">
                  <c:v>7.511969300580526E-3</c:v>
                </c:pt>
                <c:pt idx="1">
                  <c:v>4.1591884799999996E-4</c:v>
                </c:pt>
                <c:pt idx="2">
                  <c:v>9.7543642262926625E-2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EA-4CF4-BBAA-BE6DC98C32B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Variability Graph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Min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(Variability!$M$7:$M$8,Variability!$M$12,Variability!$M$14,Variability!$M$16,Variability!$M$18,Variability!$M$22,Variability!$M$23,Variability!$M$25,Variability!$M$26)</c:f>
              <c:strCache>
                <c:ptCount val="10"/>
                <c:pt idx="0">
                  <c:v>Inference time</c:v>
                </c:pt>
                <c:pt idx="1">
                  <c:v>UK CO2 intensity</c:v>
                </c:pt>
                <c:pt idx="2">
                  <c:v>phone lifespan</c:v>
                </c:pt>
                <c:pt idx="3">
                  <c:v>phone power usage</c:v>
                </c:pt>
                <c:pt idx="4">
                  <c:v>laptop lifespan</c:v>
                </c:pt>
                <c:pt idx="5">
                  <c:v>laptop power usage</c:v>
                </c:pt>
                <c:pt idx="6">
                  <c:v>chars to bytes</c:v>
                </c:pt>
                <c:pt idx="7">
                  <c:v>overhead</c:v>
                </c:pt>
                <c:pt idx="8">
                  <c:v>Query tokens</c:v>
                </c:pt>
                <c:pt idx="9">
                  <c:v>Response tokens</c:v>
                </c:pt>
              </c:strCache>
            </c:strRef>
          </c:cat>
          <c:val>
            <c:numRef>
              <c:f>(Variability!$R$7:$R$8,Variability!$R$12,Variability!$R$14,Variability!$R$16,Variability!$R$18,Variability!$R$22,Variability!$R$23,Variability!$R$25,Variability!$R$26)</c:f>
              <c:numCache>
                <c:formatCode>0%</c:formatCode>
                <c:ptCount val="10"/>
                <c:pt idx="0">
                  <c:v>-0.65354330708661412</c:v>
                </c:pt>
                <c:pt idx="1">
                  <c:v>-0.64088397790055252</c:v>
                </c:pt>
                <c:pt idx="2">
                  <c:v>-0.5</c:v>
                </c:pt>
                <c:pt idx="3">
                  <c:v>0</c:v>
                </c:pt>
                <c:pt idx="4">
                  <c:v>-0.25</c:v>
                </c:pt>
                <c:pt idx="5">
                  <c:v>0</c:v>
                </c:pt>
                <c:pt idx="6">
                  <c:v>-0.75</c:v>
                </c:pt>
                <c:pt idx="7">
                  <c:v>-0.33333333333333331</c:v>
                </c:pt>
                <c:pt idx="8">
                  <c:v>-0.44444444444444442</c:v>
                </c:pt>
                <c:pt idx="9">
                  <c:v>-0.97274275979557068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4-46A6-9D52-2FDEB073549A}"/>
            </c:ext>
          </c:extLst>
        </c:ser>
        <c:ser>
          <c:idx val="1"/>
          <c:order val="1"/>
          <c:tx>
            <c:v>Max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(Variability!$M$7:$M$8,Variability!$M$12,Variability!$M$14,Variability!$M$16,Variability!$M$18,Variability!$M$22,Variability!$M$23,Variability!$M$25,Variability!$M$26)</c:f>
              <c:strCache>
                <c:ptCount val="10"/>
                <c:pt idx="0">
                  <c:v>Inference time</c:v>
                </c:pt>
                <c:pt idx="1">
                  <c:v>UK CO2 intensity</c:v>
                </c:pt>
                <c:pt idx="2">
                  <c:v>phone lifespan</c:v>
                </c:pt>
                <c:pt idx="3">
                  <c:v>phone power usage</c:v>
                </c:pt>
                <c:pt idx="4">
                  <c:v>laptop lifespan</c:v>
                </c:pt>
                <c:pt idx="5">
                  <c:v>laptop power usage</c:v>
                </c:pt>
                <c:pt idx="6">
                  <c:v>chars to bytes</c:v>
                </c:pt>
                <c:pt idx="7">
                  <c:v>overhead</c:v>
                </c:pt>
                <c:pt idx="8">
                  <c:v>Query tokens</c:v>
                </c:pt>
                <c:pt idx="9">
                  <c:v>Response tokens</c:v>
                </c:pt>
              </c:strCache>
            </c:strRef>
          </c:cat>
          <c:val>
            <c:numRef>
              <c:f>(Variability!$S$7:$S$8,Variability!$S$12,Variability!$S$14,Variability!$S$16,Variability!$S$18,Variability!$S$22:$S$23,Variability!$S$25,Variability!$S$26)</c:f>
              <c:numCache>
                <c:formatCode>0%</c:formatCode>
                <c:ptCount val="10"/>
                <c:pt idx="0">
                  <c:v>1.3897637795275588</c:v>
                </c:pt>
                <c:pt idx="1">
                  <c:v>0.48066298342541436</c:v>
                </c:pt>
                <c:pt idx="2">
                  <c:v>1</c:v>
                </c:pt>
                <c:pt idx="3">
                  <c:v>1.5</c:v>
                </c:pt>
                <c:pt idx="4">
                  <c:v>0.25</c:v>
                </c:pt>
                <c:pt idx="5">
                  <c:v>4</c:v>
                </c:pt>
                <c:pt idx="6">
                  <c:v>0</c:v>
                </c:pt>
                <c:pt idx="7">
                  <c:v>0.33333333333333331</c:v>
                </c:pt>
                <c:pt idx="8">
                  <c:v>1.0555555555555556</c:v>
                </c:pt>
                <c:pt idx="9">
                  <c:v>1.31175468483816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4-46A6-9D52-2FDEB07354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74515392"/>
        <c:axId val="1774510112"/>
      </c:barChart>
      <c:catAx>
        <c:axId val="1774515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4510112"/>
        <c:crosses val="autoZero"/>
        <c:auto val="1"/>
        <c:lblAlgn val="ctr"/>
        <c:lblOffset val="100"/>
        <c:noMultiLvlLbl val="0"/>
      </c:catAx>
      <c:valAx>
        <c:axId val="1774510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451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419100</xdr:colOff>
      <xdr:row>4</xdr:row>
      <xdr:rowOff>64770</xdr:rowOff>
    </xdr:from>
    <xdr:to>
      <xdr:col>15</xdr:col>
      <xdr:colOff>114300</xdr:colOff>
      <xdr:row>19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DD5B30-3E20-9299-8486-F5B1D4916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3</xdr:row>
      <xdr:rowOff>95250</xdr:rowOff>
    </xdr:from>
    <xdr:to>
      <xdr:col>16</xdr:col>
      <xdr:colOff>22860</xdr:colOff>
      <xdr:row>18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0C660C-1981-2624-1655-CEAAC70F3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479610</xdr:colOff>
      <xdr:row>31</xdr:row>
      <xdr:rowOff>161365</xdr:rowOff>
    </xdr:from>
    <xdr:to>
      <xdr:col>12</xdr:col>
      <xdr:colOff>1187822</xdr:colOff>
      <xdr:row>47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D9517-E605-4F13-E111-CC8AEEC43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edoo\OneDrive\Desktop\All\YOU%20and%20I\Year%204\Sus%20Computing\Coursework\2025-CW-iu22229\Calculations\Emissions%20Calculations.xlsx" TargetMode="External"/><Relationship Id="rId1" Type="http://schemas.openxmlformats.org/officeDocument/2006/relationships/externalLinkPath" Target="/Users/cedoo/OneDrive/Desktop/All/YOU%20and%20I/Year%204/Sus%20Computing/Coursework/2025-CW-iu22229/Calculations/Emissions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Devices"/>
      <sheetName val="Network"/>
      <sheetName val="Datacentre"/>
      <sheetName val="Total"/>
      <sheetName val="Variabil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P14">
            <v>5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C896-E394-45A3-AECD-C08156416BF8}">
  <dimension ref="C4:K30"/>
  <sheetViews>
    <sheetView topLeftCell="A4" workbookViewId="0">
      <selection activeCell="O20" sqref="O20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9" bestFit="1" customWidth="1"/>
    <col min="6" max="6" width="11.6640625" bestFit="1" customWidth="1"/>
    <col min="8" max="9" width="9" bestFit="1" customWidth="1"/>
    <col min="10" max="10" width="11.6640625" bestFit="1" customWidth="1"/>
  </cols>
  <sheetData>
    <row r="4" spans="3:11" ht="15" thickBot="1" x14ac:dyDescent="0.35"/>
    <row r="5" spans="3:11" ht="15" thickBot="1" x14ac:dyDescent="0.35">
      <c r="C5" s="77" t="s">
        <v>0</v>
      </c>
      <c r="D5" s="90"/>
      <c r="E5" s="20" t="s">
        <v>2</v>
      </c>
      <c r="F5" s="21" t="s">
        <v>1</v>
      </c>
      <c r="H5" s="77" t="s">
        <v>97</v>
      </c>
      <c r="I5" s="78"/>
    </row>
    <row r="6" spans="3:11" ht="15" thickBot="1" x14ac:dyDescent="0.35">
      <c r="C6" s="94" t="s">
        <v>11</v>
      </c>
      <c r="D6" s="95"/>
      <c r="E6" s="95"/>
      <c r="F6" s="96"/>
      <c r="H6" s="66" t="s">
        <v>99</v>
      </c>
      <c r="I6" s="67" t="s">
        <v>100</v>
      </c>
    </row>
    <row r="7" spans="3:11" x14ac:dyDescent="0.3">
      <c r="C7" s="29" t="s">
        <v>15</v>
      </c>
      <c r="D7" s="24" t="s">
        <v>12</v>
      </c>
      <c r="E7" s="10" cm="1">
        <f t="array" ref="E7:E8">Variability!P7:P8</f>
        <v>6.0699999999999994</v>
      </c>
      <c r="F7" s="11" t="s">
        <v>14</v>
      </c>
      <c r="H7" s="50">
        <f>1.1-0.22</f>
        <v>0.88000000000000012</v>
      </c>
      <c r="I7" s="2">
        <f>5.85+0.22</f>
        <v>6.0699999999999994</v>
      </c>
      <c r="J7" s="68" t="s">
        <v>98</v>
      </c>
      <c r="K7" t="s">
        <v>101</v>
      </c>
    </row>
    <row r="8" spans="3:11" x14ac:dyDescent="0.3">
      <c r="C8" s="28" t="s">
        <v>32</v>
      </c>
      <c r="D8" s="25" t="s">
        <v>31</v>
      </c>
      <c r="E8" s="12">
        <v>268</v>
      </c>
      <c r="F8" s="13" t="s">
        <v>37</v>
      </c>
      <c r="H8" s="40">
        <v>65</v>
      </c>
      <c r="I8" s="13">
        <v>268</v>
      </c>
      <c r="J8" s="13" t="str">
        <f>F8</f>
        <v>gCO2eq/kWh</v>
      </c>
    </row>
    <row r="9" spans="3:11" x14ac:dyDescent="0.3">
      <c r="C9" s="97" t="s">
        <v>16</v>
      </c>
      <c r="D9" s="98"/>
      <c r="E9" s="98"/>
      <c r="F9" s="99"/>
      <c r="H9" s="40"/>
      <c r="I9" s="13"/>
      <c r="J9" s="13"/>
    </row>
    <row r="10" spans="3:11" x14ac:dyDescent="0.3">
      <c r="C10" s="14" t="s">
        <v>17</v>
      </c>
      <c r="D10" s="15" t="s">
        <v>18</v>
      </c>
      <c r="E10" s="15">
        <f>60*60*24*365.25</f>
        <v>31557600</v>
      </c>
      <c r="F10" s="35" t="s">
        <v>19</v>
      </c>
      <c r="H10" s="40">
        <v>31557600</v>
      </c>
      <c r="I10" s="13">
        <v>31557600</v>
      </c>
      <c r="J10" s="13"/>
    </row>
    <row r="11" spans="3:11" x14ac:dyDescent="0.3">
      <c r="C11" s="91" t="s">
        <v>3</v>
      </c>
      <c r="D11" s="92"/>
      <c r="E11" s="92"/>
      <c r="F11" s="93"/>
      <c r="H11" s="40"/>
      <c r="I11" s="13"/>
      <c r="J11" s="13"/>
    </row>
    <row r="12" spans="3:11" x14ac:dyDescent="0.3">
      <c r="C12" s="89" t="s">
        <v>4</v>
      </c>
      <c r="D12" s="22" t="s">
        <v>5</v>
      </c>
      <c r="E12">
        <f>Variability!P12</f>
        <v>5</v>
      </c>
      <c r="F12" s="3" t="s">
        <v>8</v>
      </c>
      <c r="H12" s="39">
        <f>15/12</f>
        <v>1.25</v>
      </c>
      <c r="I12" s="3">
        <f>5</f>
        <v>5</v>
      </c>
      <c r="J12" s="69" t="s">
        <v>8</v>
      </c>
    </row>
    <row r="13" spans="3:11" x14ac:dyDescent="0.3">
      <c r="C13" s="89"/>
      <c r="D13" s="22" t="s">
        <v>6</v>
      </c>
      <c r="E13" s="5">
        <v>0.125</v>
      </c>
      <c r="F13" s="3" t="s">
        <v>9</v>
      </c>
      <c r="H13" s="71" t="s">
        <v>103</v>
      </c>
      <c r="I13" s="72" t="s">
        <v>103</v>
      </c>
      <c r="J13" s="69" t="s">
        <v>9</v>
      </c>
    </row>
    <row r="14" spans="3:11" x14ac:dyDescent="0.3">
      <c r="C14" s="89"/>
      <c r="D14" s="22" t="s">
        <v>13</v>
      </c>
      <c r="E14">
        <f>[1]Variability!$P$14</f>
        <v>5</v>
      </c>
      <c r="F14" s="3" t="s">
        <v>10</v>
      </c>
      <c r="H14" s="71">
        <v>2</v>
      </c>
      <c r="I14" s="72">
        <v>5</v>
      </c>
      <c r="J14" s="69" t="s">
        <v>10</v>
      </c>
    </row>
    <row r="15" spans="3:11" x14ac:dyDescent="0.3">
      <c r="C15" s="89"/>
      <c r="D15" s="22" t="s">
        <v>20</v>
      </c>
      <c r="E15">
        <v>70.510000000000005</v>
      </c>
      <c r="F15" s="3" t="s">
        <v>21</v>
      </c>
      <c r="H15" s="71">
        <f>E15-2.71</f>
        <v>67.800000000000011</v>
      </c>
      <c r="I15" s="72">
        <f>E15</f>
        <v>70.510000000000005</v>
      </c>
      <c r="J15" s="69" t="s">
        <v>21</v>
      </c>
    </row>
    <row r="16" spans="3:11" ht="14.4" customHeight="1" x14ac:dyDescent="0.3">
      <c r="C16" s="89" t="s">
        <v>7</v>
      </c>
      <c r="D16" s="22" t="s">
        <v>5</v>
      </c>
      <c r="E16">
        <f>Variability!P16</f>
        <v>5</v>
      </c>
      <c r="F16" s="3" t="s">
        <v>8</v>
      </c>
      <c r="H16" s="71">
        <v>3</v>
      </c>
      <c r="I16" s="72">
        <v>5</v>
      </c>
      <c r="J16" s="69" t="s">
        <v>8</v>
      </c>
    </row>
    <row r="17" spans="3:10" x14ac:dyDescent="0.3">
      <c r="C17" s="89"/>
      <c r="D17" s="22" t="s">
        <v>6</v>
      </c>
      <c r="E17" s="5">
        <v>0.13055555555555556</v>
      </c>
      <c r="F17" s="3" t="s">
        <v>9</v>
      </c>
      <c r="H17" s="71" t="s">
        <v>103</v>
      </c>
      <c r="I17" s="72" t="s">
        <v>103</v>
      </c>
      <c r="J17" s="69" t="s">
        <v>9</v>
      </c>
    </row>
    <row r="18" spans="3:10" x14ac:dyDescent="0.3">
      <c r="C18" s="89"/>
      <c r="D18" s="22" t="s">
        <v>13</v>
      </c>
      <c r="E18">
        <f>Variability!P18</f>
        <v>100</v>
      </c>
      <c r="F18" s="3" t="s">
        <v>10</v>
      </c>
      <c r="H18" s="71">
        <v>20</v>
      </c>
      <c r="I18" s="72">
        <v>100</v>
      </c>
      <c r="J18" s="69" t="s">
        <v>10</v>
      </c>
    </row>
    <row r="19" spans="3:10" x14ac:dyDescent="0.3">
      <c r="C19" s="100"/>
      <c r="D19" s="25" t="s">
        <v>20</v>
      </c>
      <c r="E19" s="12">
        <v>29.49</v>
      </c>
      <c r="F19" s="13" t="s">
        <v>21</v>
      </c>
      <c r="H19" s="40">
        <v>29.49</v>
      </c>
      <c r="I19" s="13">
        <v>29.49</v>
      </c>
      <c r="J19" s="13" t="s">
        <v>21</v>
      </c>
    </row>
    <row r="20" spans="3:10" x14ac:dyDescent="0.3">
      <c r="C20" s="85" t="s">
        <v>38</v>
      </c>
      <c r="D20" s="86"/>
      <c r="E20" s="86"/>
      <c r="F20" s="87"/>
      <c r="H20" s="40"/>
      <c r="I20" s="13"/>
      <c r="J20" s="13"/>
    </row>
    <row r="21" spans="3:10" ht="14.4" customHeight="1" x14ac:dyDescent="0.3">
      <c r="C21" s="88" t="s">
        <v>27</v>
      </c>
      <c r="D21" s="24" t="s">
        <v>25</v>
      </c>
      <c r="E21" s="10">
        <v>4</v>
      </c>
      <c r="F21" s="11" t="s">
        <v>33</v>
      </c>
      <c r="H21" s="39">
        <v>1</v>
      </c>
      <c r="I21" s="3" t="s">
        <v>103</v>
      </c>
      <c r="J21" s="69"/>
    </row>
    <row r="22" spans="3:10" x14ac:dyDescent="0.3">
      <c r="C22" s="89"/>
      <c r="D22" s="22" t="s">
        <v>24</v>
      </c>
      <c r="E22" cm="1">
        <f t="array" ref="E22:E23">Variability!P22:P23</f>
        <v>4</v>
      </c>
      <c r="F22" s="3" t="s">
        <v>34</v>
      </c>
      <c r="H22" s="39">
        <v>1</v>
      </c>
      <c r="I22" s="3">
        <v>4</v>
      </c>
      <c r="J22" s="69" t="s">
        <v>102</v>
      </c>
    </row>
    <row r="23" spans="3:10" x14ac:dyDescent="0.3">
      <c r="C23" s="89"/>
      <c r="D23" s="22" t="s">
        <v>26</v>
      </c>
      <c r="E23">
        <v>2</v>
      </c>
      <c r="F23" s="3" t="s">
        <v>35</v>
      </c>
      <c r="H23" s="39">
        <v>1</v>
      </c>
      <c r="I23" s="3">
        <v>2</v>
      </c>
      <c r="J23" s="69" t="s">
        <v>35</v>
      </c>
    </row>
    <row r="24" spans="3:10" ht="14.4" customHeight="1" x14ac:dyDescent="0.3">
      <c r="C24" s="89"/>
      <c r="D24" s="22" t="s">
        <v>30</v>
      </c>
      <c r="E24">
        <v>5.8999999999999997E-2</v>
      </c>
      <c r="F24" s="3" t="s">
        <v>36</v>
      </c>
      <c r="H24" s="39" t="s">
        <v>104</v>
      </c>
      <c r="J24" s="3"/>
    </row>
    <row r="25" spans="3:10" x14ac:dyDescent="0.3">
      <c r="C25" s="7" t="s">
        <v>28</v>
      </c>
      <c r="D25" s="22" t="s">
        <v>23</v>
      </c>
      <c r="E25" cm="1">
        <f t="array" ref="E25:E26">Variability!P25:P26</f>
        <v>37</v>
      </c>
      <c r="F25" s="3" t="s">
        <v>22</v>
      </c>
      <c r="H25" s="39">
        <v>10</v>
      </c>
      <c r="I25" s="3">
        <v>37</v>
      </c>
      <c r="J25" s="69" t="s">
        <v>22</v>
      </c>
    </row>
    <row r="26" spans="3:10" x14ac:dyDescent="0.3">
      <c r="C26" s="28" t="s">
        <v>29</v>
      </c>
      <c r="D26" s="25" t="s">
        <v>23</v>
      </c>
      <c r="E26" s="12">
        <v>1357</v>
      </c>
      <c r="F26" s="13" t="s">
        <v>22</v>
      </c>
      <c r="H26" s="40">
        <v>16</v>
      </c>
      <c r="I26" s="13">
        <v>1357</v>
      </c>
      <c r="J26" s="13" t="s">
        <v>22</v>
      </c>
    </row>
    <row r="27" spans="3:10" x14ac:dyDescent="0.3">
      <c r="C27" s="85" t="s">
        <v>39</v>
      </c>
      <c r="D27" s="86"/>
      <c r="E27" s="86"/>
      <c r="F27" s="87"/>
      <c r="H27" s="40"/>
      <c r="I27" s="13"/>
      <c r="J27" s="13"/>
    </row>
    <row r="28" spans="3:10" ht="14.4" customHeight="1" x14ac:dyDescent="0.3">
      <c r="C28" s="6" t="s">
        <v>41</v>
      </c>
      <c r="D28" s="22" t="s">
        <v>42</v>
      </c>
      <c r="E28">
        <v>692</v>
      </c>
      <c r="F28" s="3" t="s">
        <v>40</v>
      </c>
      <c r="H28" s="79" t="s">
        <v>105</v>
      </c>
      <c r="I28" s="80"/>
      <c r="J28" s="69"/>
    </row>
    <row r="29" spans="3:10" x14ac:dyDescent="0.3">
      <c r="C29" s="7" t="s">
        <v>43</v>
      </c>
      <c r="D29" s="22" t="s">
        <v>13</v>
      </c>
      <c r="E29">
        <v>153</v>
      </c>
      <c r="F29" s="3" t="s">
        <v>10</v>
      </c>
      <c r="H29" s="81"/>
      <c r="I29" s="82"/>
      <c r="J29" s="69"/>
    </row>
    <row r="30" spans="3:10" ht="15" thickBot="1" x14ac:dyDescent="0.35">
      <c r="C30" s="27" t="s">
        <v>46</v>
      </c>
      <c r="D30" s="23" t="s">
        <v>44</v>
      </c>
      <c r="E30" s="8">
        <v>1.0900000000000001</v>
      </c>
      <c r="F30" s="9" t="s">
        <v>45</v>
      </c>
      <c r="H30" s="83"/>
      <c r="I30" s="84"/>
      <c r="J30" s="70"/>
    </row>
  </sheetData>
  <mergeCells count="11">
    <mergeCell ref="H5:I5"/>
    <mergeCell ref="H28:I30"/>
    <mergeCell ref="C20:F20"/>
    <mergeCell ref="C21:C24"/>
    <mergeCell ref="C27:F27"/>
    <mergeCell ref="C5:D5"/>
    <mergeCell ref="C11:F11"/>
    <mergeCell ref="C12:C15"/>
    <mergeCell ref="C6:F6"/>
    <mergeCell ref="C9:F9"/>
    <mergeCell ref="C16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C0C1-DAB5-4DA3-BD04-A4F6F484471D}">
  <dimension ref="E1:G28"/>
  <sheetViews>
    <sheetView topLeftCell="B3" workbookViewId="0">
      <selection activeCell="F26" sqref="F26"/>
    </sheetView>
  </sheetViews>
  <sheetFormatPr defaultRowHeight="14.4" x14ac:dyDescent="0.3"/>
  <cols>
    <col min="5" max="5" width="17.21875" bestFit="1" customWidth="1"/>
    <col min="6" max="6" width="9" bestFit="1" customWidth="1"/>
    <col min="7" max="7" width="12.44140625" bestFit="1" customWidth="1"/>
  </cols>
  <sheetData>
    <row r="1" spans="5:7" ht="15" thickBot="1" x14ac:dyDescent="0.35"/>
    <row r="2" spans="5:7" ht="15" thickBot="1" x14ac:dyDescent="0.35">
      <c r="E2" s="77" t="s">
        <v>53</v>
      </c>
      <c r="F2" s="101"/>
      <c r="G2" s="102"/>
    </row>
    <row r="3" spans="5:7" ht="15" thickBot="1" x14ac:dyDescent="0.35">
      <c r="E3" s="32" t="s">
        <v>47</v>
      </c>
      <c r="F3" s="33" t="s">
        <v>2</v>
      </c>
      <c r="G3" s="34" t="s">
        <v>1</v>
      </c>
    </row>
    <row r="4" spans="5:7" x14ac:dyDescent="0.3">
      <c r="E4" s="36" t="s">
        <v>5</v>
      </c>
      <c r="F4" s="37">
        <f>Data!E12</f>
        <v>5</v>
      </c>
      <c r="G4" s="38" t="str">
        <f>Data!F12</f>
        <v>years</v>
      </c>
    </row>
    <row r="5" spans="5:7" x14ac:dyDescent="0.3">
      <c r="E5" s="39" t="s">
        <v>6</v>
      </c>
      <c r="F5" s="5">
        <f>Data!E13</f>
        <v>0.125</v>
      </c>
      <c r="G5" s="3" t="str">
        <f>Data!F13</f>
        <v>hh:mm</v>
      </c>
    </row>
    <row r="6" spans="5:7" x14ac:dyDescent="0.3">
      <c r="E6" s="40" t="s">
        <v>13</v>
      </c>
      <c r="F6" s="12">
        <f>Data!E14</f>
        <v>5</v>
      </c>
      <c r="G6" s="13" t="str">
        <f>Data!F14</f>
        <v>W</v>
      </c>
    </row>
    <row r="7" spans="5:7" x14ac:dyDescent="0.3">
      <c r="E7" s="41" t="s">
        <v>49</v>
      </c>
      <c r="F7" s="10">
        <v>34.1</v>
      </c>
      <c r="G7" s="11" t="s">
        <v>48</v>
      </c>
    </row>
    <row r="8" spans="5:7" x14ac:dyDescent="0.3">
      <c r="E8" s="26" t="s">
        <v>12</v>
      </c>
      <c r="F8">
        <f>Data!E7</f>
        <v>6.0699999999999994</v>
      </c>
      <c r="G8" s="3" t="str">
        <f>Data!F7</f>
        <v>sec/FU</v>
      </c>
    </row>
    <row r="9" spans="5:7" x14ac:dyDescent="0.3">
      <c r="E9" s="39" t="s">
        <v>50</v>
      </c>
      <c r="F9" cm="1">
        <f t="array" ref="F9:G9">Data!E10:F10</f>
        <v>31557600</v>
      </c>
      <c r="G9" s="3" t="str">
        <v>sec/year</v>
      </c>
    </row>
    <row r="10" spans="5:7" ht="15" thickBot="1" x14ac:dyDescent="0.35">
      <c r="E10" s="47" t="s">
        <v>51</v>
      </c>
      <c r="F10" s="48">
        <f>F7*(F8/F9)</f>
        <v>6.5590222323624102E-6</v>
      </c>
      <c r="G10" s="49" t="s">
        <v>52</v>
      </c>
    </row>
    <row r="11" spans="5:7" ht="15" thickBot="1" x14ac:dyDescent="0.35"/>
    <row r="12" spans="5:7" ht="15" thickBot="1" x14ac:dyDescent="0.35">
      <c r="E12" s="77" t="s">
        <v>54</v>
      </c>
      <c r="F12" s="101"/>
      <c r="G12" s="102"/>
    </row>
    <row r="13" spans="5:7" ht="15" thickBot="1" x14ac:dyDescent="0.35">
      <c r="E13" s="32" t="s">
        <v>47</v>
      </c>
      <c r="F13" s="33" t="s">
        <v>2</v>
      </c>
      <c r="G13" s="34" t="s">
        <v>1</v>
      </c>
    </row>
    <row r="14" spans="5:7" x14ac:dyDescent="0.3">
      <c r="E14" s="36" t="s">
        <v>5</v>
      </c>
      <c r="F14" s="37" cm="1">
        <f t="array" ref="F14:G14">Data!E16:F16</f>
        <v>5</v>
      </c>
      <c r="G14" s="38" t="str">
        <v>years</v>
      </c>
    </row>
    <row r="15" spans="5:7" x14ac:dyDescent="0.3">
      <c r="E15" s="39" t="s">
        <v>6</v>
      </c>
      <c r="F15" s="5" cm="1">
        <f t="array" ref="F15:G15">Data!E17:F17</f>
        <v>0.13055555555555556</v>
      </c>
      <c r="G15" s="3" t="str">
        <v>hh:mm</v>
      </c>
    </row>
    <row r="16" spans="5:7" x14ac:dyDescent="0.3">
      <c r="E16" s="39" t="s">
        <v>6</v>
      </c>
      <c r="F16" s="44">
        <f>3 + (8/60)</f>
        <v>3.1333333333333333</v>
      </c>
      <c r="G16" s="3" t="s">
        <v>55</v>
      </c>
    </row>
    <row r="17" spans="5:7" x14ac:dyDescent="0.3">
      <c r="E17" s="40" t="s">
        <v>13</v>
      </c>
      <c r="F17" s="12" cm="1">
        <f t="array" ref="F17:G17">Data!E18:F18</f>
        <v>100</v>
      </c>
      <c r="G17" s="13" t="str">
        <v>W</v>
      </c>
    </row>
    <row r="18" spans="5:7" x14ac:dyDescent="0.3">
      <c r="E18" s="39" t="s">
        <v>49</v>
      </c>
      <c r="F18">
        <v>50.9</v>
      </c>
      <c r="G18" s="3" t="s">
        <v>48</v>
      </c>
    </row>
    <row r="19" spans="5:7" x14ac:dyDescent="0.3">
      <c r="E19" s="26" t="s">
        <v>12</v>
      </c>
      <c r="F19">
        <f>F8</f>
        <v>6.0699999999999994</v>
      </c>
      <c r="G19" s="3" t="str">
        <f>G8</f>
        <v>sec/FU</v>
      </c>
    </row>
    <row r="20" spans="5:7" x14ac:dyDescent="0.3">
      <c r="E20" s="39" t="s">
        <v>50</v>
      </c>
      <c r="F20">
        <f>F9</f>
        <v>31557600</v>
      </c>
      <c r="G20" s="3" t="str">
        <f>G9</f>
        <v>sec/year</v>
      </c>
    </row>
    <row r="21" spans="5:7" ht="15" thickBot="1" x14ac:dyDescent="0.35">
      <c r="E21" s="47" t="s">
        <v>51</v>
      </c>
      <c r="F21" s="48">
        <f>F18*(F19/F20)</f>
        <v>9.7904466752858257E-6</v>
      </c>
      <c r="G21" s="49" t="s">
        <v>52</v>
      </c>
    </row>
    <row r="22" spans="5:7" ht="15" thickBot="1" x14ac:dyDescent="0.35">
      <c r="F22" s="46"/>
    </row>
    <row r="23" spans="5:7" ht="15" thickBot="1" x14ac:dyDescent="0.35">
      <c r="E23" s="77" t="s">
        <v>58</v>
      </c>
      <c r="F23" s="101"/>
      <c r="G23" s="102"/>
    </row>
    <row r="24" spans="5:7" ht="15" thickBot="1" x14ac:dyDescent="0.35">
      <c r="E24" s="32" t="s">
        <v>47</v>
      </c>
      <c r="F24" s="33" t="s">
        <v>2</v>
      </c>
      <c r="G24" s="34" t="s">
        <v>1</v>
      </c>
    </row>
    <row r="25" spans="5:7" x14ac:dyDescent="0.3">
      <c r="E25" s="50" t="s">
        <v>56</v>
      </c>
      <c r="F25" s="1" cm="1">
        <f t="array" ref="F25:G25">Data!E15:F15</f>
        <v>70.510000000000005</v>
      </c>
      <c r="G25" s="2" t="str">
        <v>%</v>
      </c>
    </row>
    <row r="26" spans="5:7" x14ac:dyDescent="0.3">
      <c r="E26" s="39" t="s">
        <v>57</v>
      </c>
      <c r="F26" cm="1">
        <f t="array" ref="F26:G26">Data!E19:F19</f>
        <v>29.49</v>
      </c>
      <c r="G26" s="3" t="str">
        <v>%</v>
      </c>
    </row>
    <row r="27" spans="5:7" x14ac:dyDescent="0.3">
      <c r="E27" s="40" t="s">
        <v>79</v>
      </c>
      <c r="F27" s="12">
        <v>1000</v>
      </c>
      <c r="G27" s="13" t="s">
        <v>80</v>
      </c>
    </row>
    <row r="28" spans="5:7" ht="15" thickBot="1" x14ac:dyDescent="0.35">
      <c r="E28" s="42" t="s">
        <v>77</v>
      </c>
      <c r="F28" s="43">
        <f>(F10*(F25/100) + F21*(F26/100)) * F27</f>
        <v>7.511969300580526E-3</v>
      </c>
      <c r="G28" s="9" t="s">
        <v>78</v>
      </c>
    </row>
  </sheetData>
  <mergeCells count="3">
    <mergeCell ref="E2:G2"/>
    <mergeCell ref="E12:G12"/>
    <mergeCell ref="E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4FF-8DB8-4624-95E0-3BC4AC0AF6C2}">
  <dimension ref="E1:G27"/>
  <sheetViews>
    <sheetView topLeftCell="B6" workbookViewId="0">
      <selection activeCell="F26" sqref="F26"/>
    </sheetView>
  </sheetViews>
  <sheetFormatPr defaultRowHeight="14.4" x14ac:dyDescent="0.3"/>
  <cols>
    <col min="5" max="5" width="17.21875" bestFit="1" customWidth="1"/>
    <col min="6" max="6" width="11" bestFit="1" customWidth="1"/>
    <col min="7" max="7" width="12.44140625" bestFit="1" customWidth="1"/>
  </cols>
  <sheetData>
    <row r="1" spans="5:7" ht="15" thickBot="1" x14ac:dyDescent="0.35"/>
    <row r="2" spans="5:7" ht="15" thickBot="1" x14ac:dyDescent="0.35">
      <c r="E2" s="77" t="s">
        <v>59</v>
      </c>
      <c r="F2" s="101"/>
      <c r="G2" s="102"/>
    </row>
    <row r="3" spans="5:7" ht="15" thickBot="1" x14ac:dyDescent="0.35">
      <c r="E3" s="19" t="s">
        <v>47</v>
      </c>
      <c r="F3" s="30" t="s">
        <v>2</v>
      </c>
      <c r="G3" s="31" t="s">
        <v>1</v>
      </c>
    </row>
    <row r="4" spans="5:7" x14ac:dyDescent="0.3">
      <c r="E4" s="36" t="s">
        <v>60</v>
      </c>
      <c r="F4" s="37">
        <f>Data!E25</f>
        <v>37</v>
      </c>
      <c r="G4" s="38" t="s">
        <v>66</v>
      </c>
    </row>
    <row r="5" spans="5:7" x14ac:dyDescent="0.3">
      <c r="E5" s="39" t="s">
        <v>61</v>
      </c>
      <c r="F5" cm="1">
        <f t="array" ref="F5:G5">Data!E21:F21</f>
        <v>4</v>
      </c>
      <c r="G5" s="3" t="str">
        <v>char/token</v>
      </c>
    </row>
    <row r="6" spans="5:7" x14ac:dyDescent="0.3">
      <c r="E6" s="39" t="s">
        <v>62</v>
      </c>
      <c r="F6" cm="1">
        <f t="array" ref="F6:G6">Data!E22:F22</f>
        <v>4</v>
      </c>
      <c r="G6" s="3" t="str">
        <v>byte/char</v>
      </c>
    </row>
    <row r="7" spans="5:7" x14ac:dyDescent="0.3">
      <c r="E7" s="39" t="s">
        <v>26</v>
      </c>
      <c r="F7" cm="1">
        <f t="array" ref="F7:G7">Data!E23:F23</f>
        <v>2</v>
      </c>
      <c r="G7" s="3" t="str">
        <v>kB</v>
      </c>
    </row>
    <row r="8" spans="5:7" x14ac:dyDescent="0.3">
      <c r="E8" s="26" t="s">
        <v>64</v>
      </c>
      <c r="F8">
        <v>1000</v>
      </c>
      <c r="G8" s="3" t="s">
        <v>65</v>
      </c>
    </row>
    <row r="9" spans="5:7" ht="15" thickBot="1" x14ac:dyDescent="0.35">
      <c r="E9" s="52" t="s">
        <v>63</v>
      </c>
      <c r="F9" s="51">
        <f>(F4*F5*F6)/F8 + F7</f>
        <v>2.5920000000000001</v>
      </c>
      <c r="G9" s="49" t="s">
        <v>67</v>
      </c>
    </row>
    <row r="10" spans="5:7" ht="15" thickBot="1" x14ac:dyDescent="0.35">
      <c r="F10" s="46"/>
    </row>
    <row r="11" spans="5:7" ht="15" thickBot="1" x14ac:dyDescent="0.35">
      <c r="E11" s="77" t="s">
        <v>68</v>
      </c>
      <c r="F11" s="101"/>
      <c r="G11" s="102"/>
    </row>
    <row r="12" spans="5:7" ht="15" thickBot="1" x14ac:dyDescent="0.35">
      <c r="E12" s="19" t="s">
        <v>47</v>
      </c>
      <c r="F12" s="30" t="s">
        <v>2</v>
      </c>
      <c r="G12" s="31" t="s">
        <v>1</v>
      </c>
    </row>
    <row r="13" spans="5:7" x14ac:dyDescent="0.3">
      <c r="E13" s="36" t="s">
        <v>60</v>
      </c>
      <c r="F13" s="37">
        <f>Data!E26</f>
        <v>1357</v>
      </c>
      <c r="G13" s="38" t="s">
        <v>66</v>
      </c>
    </row>
    <row r="14" spans="5:7" x14ac:dyDescent="0.3">
      <c r="E14" s="39" t="s">
        <v>61</v>
      </c>
      <c r="F14">
        <f t="shared" ref="F14:G17" si="0">F5</f>
        <v>4</v>
      </c>
      <c r="G14" s="3" t="str">
        <f t="shared" si="0"/>
        <v>char/token</v>
      </c>
    </row>
    <row r="15" spans="5:7" x14ac:dyDescent="0.3">
      <c r="E15" s="39" t="s">
        <v>62</v>
      </c>
      <c r="F15">
        <f t="shared" si="0"/>
        <v>4</v>
      </c>
      <c r="G15" s="3" t="str">
        <f t="shared" si="0"/>
        <v>byte/char</v>
      </c>
    </row>
    <row r="16" spans="5:7" x14ac:dyDescent="0.3">
      <c r="E16" s="39" t="s">
        <v>26</v>
      </c>
      <c r="F16">
        <f t="shared" si="0"/>
        <v>2</v>
      </c>
      <c r="G16" s="3" t="str">
        <f t="shared" si="0"/>
        <v>kB</v>
      </c>
    </row>
    <row r="17" spans="5:7" x14ac:dyDescent="0.3">
      <c r="E17" s="26" t="s">
        <v>64</v>
      </c>
      <c r="F17">
        <f t="shared" si="0"/>
        <v>1000</v>
      </c>
      <c r="G17" s="3" t="str">
        <f t="shared" si="0"/>
        <v>byte/kB</v>
      </c>
    </row>
    <row r="18" spans="5:7" ht="15" thickBot="1" x14ac:dyDescent="0.35">
      <c r="E18" s="52" t="s">
        <v>63</v>
      </c>
      <c r="F18" s="51">
        <f>(F13*F14*F15)/F17 + F16</f>
        <v>23.712</v>
      </c>
      <c r="G18" s="49" t="s">
        <v>67</v>
      </c>
    </row>
    <row r="19" spans="5:7" ht="15" thickBot="1" x14ac:dyDescent="0.35">
      <c r="E19" s="22"/>
    </row>
    <row r="20" spans="5:7" ht="15" thickBot="1" x14ac:dyDescent="0.35">
      <c r="E20" s="77" t="s">
        <v>58</v>
      </c>
      <c r="F20" s="101"/>
      <c r="G20" s="102"/>
    </row>
    <row r="21" spans="5:7" ht="15" thickBot="1" x14ac:dyDescent="0.35">
      <c r="E21" s="19" t="s">
        <v>47</v>
      </c>
      <c r="F21" s="30" t="s">
        <v>2</v>
      </c>
      <c r="G21" s="31" t="s">
        <v>1</v>
      </c>
    </row>
    <row r="22" spans="5:7" x14ac:dyDescent="0.3">
      <c r="E22" s="36" t="s">
        <v>69</v>
      </c>
      <c r="F22" s="53">
        <f>F9+F18</f>
        <v>26.303999999999998</v>
      </c>
      <c r="G22" s="38" t="str">
        <f>G9</f>
        <v>kB/FU</v>
      </c>
    </row>
    <row r="23" spans="5:7" x14ac:dyDescent="0.3">
      <c r="E23" s="26" t="s">
        <v>70</v>
      </c>
      <c r="F23" s="17" cm="1">
        <f t="array" ref="F23:G23">Data!E24:F24</f>
        <v>5.8999999999999997E-2</v>
      </c>
      <c r="G23" s="4" t="str">
        <v>kWh/GB</v>
      </c>
    </row>
    <row r="24" spans="5:7" x14ac:dyDescent="0.3">
      <c r="E24" s="57" t="s">
        <v>72</v>
      </c>
      <c r="F24" s="58">
        <v>1000000</v>
      </c>
      <c r="G24" s="59" t="s">
        <v>73</v>
      </c>
    </row>
    <row r="25" spans="5:7" x14ac:dyDescent="0.3">
      <c r="E25" s="60" t="s">
        <v>71</v>
      </c>
      <c r="F25" s="16">
        <f>F23*F22/F24</f>
        <v>1.5519359999999998E-6</v>
      </c>
      <c r="G25" s="61" t="s">
        <v>74</v>
      </c>
    </row>
    <row r="26" spans="5:7" x14ac:dyDescent="0.3">
      <c r="E26" s="57" t="s">
        <v>75</v>
      </c>
      <c r="F26" s="12" cm="1">
        <f t="array" ref="F26:G26">Data!E8:F8</f>
        <v>268</v>
      </c>
      <c r="G26" s="13" t="str">
        <v>gCO2eq/kWh</v>
      </c>
    </row>
    <row r="27" spans="5:7" ht="15" thickBot="1" x14ac:dyDescent="0.35">
      <c r="E27" s="56" t="s">
        <v>76</v>
      </c>
      <c r="F27" s="43">
        <f>F25*F26</f>
        <v>4.1591884799999996E-4</v>
      </c>
      <c r="G27" s="9" t="s">
        <v>78</v>
      </c>
    </row>
  </sheetData>
  <mergeCells count="3">
    <mergeCell ref="E2:G2"/>
    <mergeCell ref="E11:G11"/>
    <mergeCell ref="E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FE2CF-BE3B-448E-BDE1-88A2C6BA73BE}">
  <dimension ref="E2:K25"/>
  <sheetViews>
    <sheetView workbookViewId="0">
      <selection activeCell="F25" sqref="F25"/>
    </sheetView>
  </sheetViews>
  <sheetFormatPr defaultRowHeight="14.4" x14ac:dyDescent="0.3"/>
  <cols>
    <col min="5" max="5" width="15.21875" bestFit="1" customWidth="1"/>
    <col min="6" max="6" width="12.21875" bestFit="1" customWidth="1"/>
    <col min="7" max="7" width="14.44140625" customWidth="1"/>
  </cols>
  <sheetData>
    <row r="2" spans="5:7" ht="15" thickBot="1" x14ac:dyDescent="0.35"/>
    <row r="3" spans="5:7" ht="15" thickBot="1" x14ac:dyDescent="0.35">
      <c r="E3" s="77" t="s">
        <v>82</v>
      </c>
      <c r="F3" s="101"/>
      <c r="G3" s="102"/>
    </row>
    <row r="4" spans="5:7" ht="15" thickBot="1" x14ac:dyDescent="0.35">
      <c r="E4" s="32" t="s">
        <v>47</v>
      </c>
      <c r="F4" s="33" t="s">
        <v>2</v>
      </c>
      <c r="G4" s="34" t="s">
        <v>1</v>
      </c>
    </row>
    <row r="5" spans="5:7" x14ac:dyDescent="0.3">
      <c r="E5" s="50" t="s">
        <v>81</v>
      </c>
      <c r="F5" s="1">
        <f>Data!E28</f>
        <v>692</v>
      </c>
      <c r="G5" s="2" t="s">
        <v>84</v>
      </c>
    </row>
    <row r="6" spans="5:7" x14ac:dyDescent="0.3">
      <c r="E6" s="39" t="s">
        <v>50</v>
      </c>
      <c r="F6" cm="1">
        <f t="array" ref="F6:G6">Data!E10:F10</f>
        <v>31557600</v>
      </c>
      <c r="G6" s="3" t="str">
        <v>sec/year</v>
      </c>
    </row>
    <row r="7" spans="5:7" x14ac:dyDescent="0.3">
      <c r="E7" s="41" t="s">
        <v>83</v>
      </c>
      <c r="F7" s="54">
        <f>F5 / (6 *F6)</f>
        <v>3.6546927945513391E-6</v>
      </c>
      <c r="G7" s="11" t="s">
        <v>85</v>
      </c>
    </row>
    <row r="8" spans="5:7" x14ac:dyDescent="0.3">
      <c r="E8" s="26" t="s">
        <v>12</v>
      </c>
      <c r="F8">
        <f>Data!E7</f>
        <v>6.0699999999999994</v>
      </c>
      <c r="G8" s="3" t="str">
        <f>Devices!G8</f>
        <v>sec/FU</v>
      </c>
    </row>
    <row r="9" spans="5:7" x14ac:dyDescent="0.3">
      <c r="E9" s="39" t="s">
        <v>79</v>
      </c>
      <c r="F9">
        <v>1000</v>
      </c>
      <c r="G9" s="3" t="s">
        <v>80</v>
      </c>
    </row>
    <row r="10" spans="5:7" ht="15" thickBot="1" x14ac:dyDescent="0.35">
      <c r="E10" s="47" t="s">
        <v>96</v>
      </c>
      <c r="F10" s="48">
        <f>F7 * F8 * F9</f>
        <v>2.2183985262926625E-2</v>
      </c>
      <c r="G10" s="49" t="s">
        <v>78</v>
      </c>
    </row>
    <row r="11" spans="5:7" ht="15" thickBot="1" x14ac:dyDescent="0.35"/>
    <row r="12" spans="5:7" ht="15" thickBot="1" x14ac:dyDescent="0.35">
      <c r="E12" s="77" t="s">
        <v>95</v>
      </c>
      <c r="F12" s="101"/>
      <c r="G12" s="102"/>
    </row>
    <row r="13" spans="5:7" ht="15" thickBot="1" x14ac:dyDescent="0.35">
      <c r="E13" s="32" t="s">
        <v>47</v>
      </c>
      <c r="F13" s="33" t="s">
        <v>2</v>
      </c>
      <c r="G13" s="34" t="s">
        <v>1</v>
      </c>
    </row>
    <row r="14" spans="5:7" x14ac:dyDescent="0.3">
      <c r="E14" s="50" t="s">
        <v>13</v>
      </c>
      <c r="F14" s="1" cm="1">
        <f t="array" ref="F14:G14">Data!E29:F29</f>
        <v>153</v>
      </c>
      <c r="G14" s="2" t="str">
        <v>W</v>
      </c>
    </row>
    <row r="15" spans="5:7" x14ac:dyDescent="0.3">
      <c r="E15" s="39" t="s">
        <v>44</v>
      </c>
      <c r="F15" cm="1">
        <f t="array" ref="F15:G15">Data!E30:F30</f>
        <v>1.0900000000000001</v>
      </c>
      <c r="G15" s="3" t="str">
        <v>None</v>
      </c>
    </row>
    <row r="16" spans="5:7" x14ac:dyDescent="0.3">
      <c r="E16" s="39" t="str" cm="1">
        <f t="array" ref="E16:G16">E8:G8</f>
        <v>Inference time</v>
      </c>
      <c r="F16">
        <v>6.0699999999999994</v>
      </c>
      <c r="G16" s="3" t="str">
        <v>sec/FU</v>
      </c>
    </row>
    <row r="17" spans="5:11" x14ac:dyDescent="0.3">
      <c r="E17" s="39" t="s">
        <v>87</v>
      </c>
      <c r="F17">
        <f>60*60</f>
        <v>3600</v>
      </c>
      <c r="G17" s="3" t="s">
        <v>88</v>
      </c>
    </row>
    <row r="18" spans="5:11" x14ac:dyDescent="0.3">
      <c r="E18" s="41" t="s">
        <v>86</v>
      </c>
      <c r="F18" s="54">
        <f>F14*F15*(F16/F17)</f>
        <v>0.28119274999999999</v>
      </c>
      <c r="G18" s="11" t="s">
        <v>89</v>
      </c>
    </row>
    <row r="19" spans="5:11" x14ac:dyDescent="0.3">
      <c r="E19" s="39" t="str" cm="1">
        <f t="array" ref="E19:G19">Network!E26:G26</f>
        <v>UK CO2 intensity</v>
      </c>
      <c r="F19">
        <v>268</v>
      </c>
      <c r="G19" s="3" t="str">
        <v>gCO2eq/kWh</v>
      </c>
    </row>
    <row r="20" spans="5:11" x14ac:dyDescent="0.3">
      <c r="E20" s="40" t="s">
        <v>91</v>
      </c>
      <c r="F20" s="12">
        <v>1000</v>
      </c>
      <c r="G20" s="13" t="s">
        <v>92</v>
      </c>
    </row>
    <row r="21" spans="5:11" ht="15" thickBot="1" x14ac:dyDescent="0.35">
      <c r="E21" s="42" t="s">
        <v>90</v>
      </c>
      <c r="F21" s="43">
        <f>(F18/F20) * F19</f>
        <v>7.5359656999999997E-2</v>
      </c>
      <c r="G21" s="9" t="s">
        <v>78</v>
      </c>
      <c r="K21" s="63">
        <f>F10/F25</f>
        <v>0.22742625504110464</v>
      </c>
    </row>
    <row r="22" spans="5:11" ht="15" thickBot="1" x14ac:dyDescent="0.35">
      <c r="K22" s="63">
        <f>F21/F25</f>
        <v>0.7725737449588953</v>
      </c>
    </row>
    <row r="23" spans="5:11" ht="15" thickBot="1" x14ac:dyDescent="0.35">
      <c r="E23" s="77" t="s">
        <v>58</v>
      </c>
      <c r="F23" s="101"/>
      <c r="G23" s="102"/>
    </row>
    <row r="24" spans="5:11" ht="15" thickBot="1" x14ac:dyDescent="0.35">
      <c r="E24" s="32" t="s">
        <v>47</v>
      </c>
      <c r="F24" s="33" t="s">
        <v>2</v>
      </c>
      <c r="G24" s="34" t="s">
        <v>1</v>
      </c>
    </row>
    <row r="25" spans="5:11" ht="15" thickBot="1" x14ac:dyDescent="0.35">
      <c r="E25" s="55" t="s">
        <v>93</v>
      </c>
      <c r="F25" s="45">
        <f>F21+F10</f>
        <v>9.7543642262926625E-2</v>
      </c>
      <c r="G25" s="18" t="s">
        <v>78</v>
      </c>
    </row>
  </sheetData>
  <mergeCells count="3">
    <mergeCell ref="E3:G3"/>
    <mergeCell ref="E12:G12"/>
    <mergeCell ref="E23:G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258F-10A5-45F1-A853-A9D18FB75957}">
  <dimension ref="E2:G18"/>
  <sheetViews>
    <sheetView tabSelected="1" workbookViewId="0">
      <selection activeCell="F8" sqref="F8:G8"/>
    </sheetView>
  </sheetViews>
  <sheetFormatPr defaultRowHeight="14.4" x14ac:dyDescent="0.3"/>
  <cols>
    <col min="5" max="5" width="14.5546875" bestFit="1" customWidth="1"/>
    <col min="6" max="6" width="20.33203125" bestFit="1" customWidth="1"/>
    <col min="7" max="7" width="10.33203125" bestFit="1" customWidth="1"/>
  </cols>
  <sheetData>
    <row r="2" spans="5:7" ht="15" thickBot="1" x14ac:dyDescent="0.35"/>
    <row r="3" spans="5:7" ht="15" thickBot="1" x14ac:dyDescent="0.35">
      <c r="E3" s="77" t="s">
        <v>58</v>
      </c>
      <c r="F3" s="101"/>
      <c r="G3" s="102"/>
    </row>
    <row r="4" spans="5:7" ht="15" thickBot="1" x14ac:dyDescent="0.35">
      <c r="E4" s="19" t="s">
        <v>47</v>
      </c>
      <c r="F4" s="30" t="s">
        <v>2</v>
      </c>
      <c r="G4" s="31" t="s">
        <v>1</v>
      </c>
    </row>
    <row r="5" spans="5:7" x14ac:dyDescent="0.3">
      <c r="E5" s="39" t="str" cm="1">
        <f t="array" ref="E5:G5">Devices!E28:G28</f>
        <v>Device GWP</v>
      </c>
      <c r="F5" s="46">
        <v>7.511969300580526E-3</v>
      </c>
      <c r="G5" s="3" t="str">
        <v>gCO2eq/FU</v>
      </c>
    </row>
    <row r="6" spans="5:7" x14ac:dyDescent="0.3">
      <c r="E6" s="39" t="str" cm="1">
        <f t="array" ref="E6:G6">Network!E27:G27</f>
        <v>Network GWP</v>
      </c>
      <c r="F6" s="46">
        <v>4.1591884799999996E-4</v>
      </c>
      <c r="G6" s="3" t="str">
        <v>gCO2eq/FU</v>
      </c>
    </row>
    <row r="7" spans="5:7" x14ac:dyDescent="0.3">
      <c r="E7" s="40" t="str" cm="1">
        <f t="array" ref="E7:G7">Datacentre!E25:G25</f>
        <v>Datacentre GWP</v>
      </c>
      <c r="F7" s="62">
        <v>9.7543642262926625E-2</v>
      </c>
      <c r="G7" s="13" t="str">
        <v>gCO2eq/FU</v>
      </c>
    </row>
    <row r="8" spans="5:7" ht="15" thickBot="1" x14ac:dyDescent="0.35">
      <c r="E8" s="42" t="s">
        <v>94</v>
      </c>
      <c r="F8" s="43">
        <f>F5+F6+F7</f>
        <v>0.10547153041150716</v>
      </c>
      <c r="G8" s="9" t="str">
        <f>G7</f>
        <v>gCO2eq/FU</v>
      </c>
    </row>
    <row r="11" spans="5:7" x14ac:dyDescent="0.3">
      <c r="F11" s="63">
        <f>F5/F8</f>
        <v>7.1222720209632565E-2</v>
      </c>
    </row>
    <row r="12" spans="5:7" x14ac:dyDescent="0.3">
      <c r="F12" s="63">
        <f>F6/F8</f>
        <v>3.9434228969396122E-3</v>
      </c>
    </row>
    <row r="13" spans="5:7" x14ac:dyDescent="0.3">
      <c r="F13" s="63">
        <f>F7/F8</f>
        <v>0.92483385689342779</v>
      </c>
    </row>
    <row r="17" spans="6:6" x14ac:dyDescent="0.3">
      <c r="F17" s="44">
        <f>F13/F11</f>
        <v>12.985095966165416</v>
      </c>
    </row>
    <row r="18" spans="6:6" x14ac:dyDescent="0.3">
      <c r="F18" s="64">
        <f>F13/F12</f>
        <v>234.52565982998354</v>
      </c>
    </row>
  </sheetData>
  <mergeCells count="1">
    <mergeCell ref="E3:G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FB07B-652A-417C-8901-299AE00EDE8E}">
  <dimension ref="C4:S30"/>
  <sheetViews>
    <sheetView topLeftCell="A11" zoomScale="85" zoomScaleNormal="85" workbookViewId="0">
      <selection activeCell="P36" sqref="P36"/>
    </sheetView>
  </sheetViews>
  <sheetFormatPr defaultRowHeight="14.4" x14ac:dyDescent="0.3"/>
  <cols>
    <col min="3" max="3" width="10.44140625" bestFit="1" customWidth="1"/>
    <col min="4" max="4" width="14.33203125" bestFit="1" customWidth="1"/>
    <col min="5" max="5" width="9" bestFit="1" customWidth="1"/>
    <col min="6" max="6" width="11.6640625" bestFit="1" customWidth="1"/>
    <col min="8" max="9" width="9" bestFit="1" customWidth="1"/>
    <col min="10" max="10" width="11.6640625" bestFit="1" customWidth="1"/>
    <col min="13" max="13" width="18" bestFit="1" customWidth="1"/>
  </cols>
  <sheetData>
    <row r="4" spans="3:19" ht="15" thickBot="1" x14ac:dyDescent="0.35"/>
    <row r="5" spans="3:19" ht="15" thickBot="1" x14ac:dyDescent="0.35">
      <c r="C5" s="77" t="s">
        <v>0</v>
      </c>
      <c r="D5" s="90"/>
      <c r="E5" s="20" t="s">
        <v>2</v>
      </c>
      <c r="F5" s="21" t="s">
        <v>1</v>
      </c>
      <c r="H5" s="77" t="s">
        <v>97</v>
      </c>
      <c r="I5" s="78"/>
    </row>
    <row r="6" spans="3:19" ht="15" thickBot="1" x14ac:dyDescent="0.35">
      <c r="C6" s="94" t="s">
        <v>11</v>
      </c>
      <c r="D6" s="95"/>
      <c r="E6" s="95"/>
      <c r="F6" s="96"/>
      <c r="H6" s="66" t="s">
        <v>99</v>
      </c>
      <c r="I6" s="67" t="s">
        <v>100</v>
      </c>
    </row>
    <row r="7" spans="3:19" x14ac:dyDescent="0.3">
      <c r="C7" s="29" t="s">
        <v>15</v>
      </c>
      <c r="D7" s="24" t="s">
        <v>12</v>
      </c>
      <c r="E7" s="10">
        <v>2.54</v>
      </c>
      <c r="F7" s="11" t="s">
        <v>14</v>
      </c>
      <c r="H7" s="50">
        <f>1.1-0.22</f>
        <v>0.88000000000000012</v>
      </c>
      <c r="I7" s="2">
        <f>5.85+0.22</f>
        <v>6.0699999999999994</v>
      </c>
      <c r="J7" s="68" t="s">
        <v>98</v>
      </c>
      <c r="K7" t="s">
        <v>101</v>
      </c>
      <c r="M7" s="75" t="s">
        <v>12</v>
      </c>
      <c r="N7" s="73">
        <f>H7</f>
        <v>0.88000000000000012</v>
      </c>
      <c r="O7" s="73">
        <f>E7</f>
        <v>2.54</v>
      </c>
      <c r="P7" s="73">
        <f>I7</f>
        <v>6.0699999999999994</v>
      </c>
      <c r="R7" s="76">
        <f>(N7-O7)/O7</f>
        <v>-0.65354330708661412</v>
      </c>
      <c r="S7" s="76">
        <f>(P7-O7)/O7</f>
        <v>1.3897637795275588</v>
      </c>
    </row>
    <row r="8" spans="3:19" x14ac:dyDescent="0.3">
      <c r="C8" s="28" t="s">
        <v>32</v>
      </c>
      <c r="D8" s="25" t="s">
        <v>31</v>
      </c>
      <c r="E8" s="12">
        <v>181</v>
      </c>
      <c r="F8" s="13" t="s">
        <v>37</v>
      </c>
      <c r="H8" s="40">
        <v>65</v>
      </c>
      <c r="I8" s="13">
        <v>268</v>
      </c>
      <c r="J8" s="13" t="str">
        <f>F8</f>
        <v>gCO2eq/kWh</v>
      </c>
      <c r="M8" s="74" t="s">
        <v>75</v>
      </c>
      <c r="N8">
        <f t="shared" ref="N8:N30" si="0">H8</f>
        <v>65</v>
      </c>
      <c r="O8">
        <f t="shared" ref="O8:O30" si="1">E8</f>
        <v>181</v>
      </c>
      <c r="P8">
        <f t="shared" ref="P8:P30" si="2">I8</f>
        <v>268</v>
      </c>
      <c r="R8" s="76">
        <f t="shared" ref="R8:R30" si="3">(N8-O8)/O8</f>
        <v>-0.64088397790055252</v>
      </c>
      <c r="S8" s="76">
        <f t="shared" ref="S8:S30" si="4">(P8-O8)/O8</f>
        <v>0.48066298342541436</v>
      </c>
    </row>
    <row r="9" spans="3:19" ht="14.4" hidden="1" customHeight="1" x14ac:dyDescent="0.3">
      <c r="C9" s="97" t="s">
        <v>16</v>
      </c>
      <c r="D9" s="98"/>
      <c r="E9" s="98"/>
      <c r="F9" s="99"/>
      <c r="H9" s="40"/>
      <c r="I9" s="13"/>
      <c r="J9" s="13"/>
      <c r="R9" s="65" t="e">
        <f t="shared" si="3"/>
        <v>#DIV/0!</v>
      </c>
      <c r="S9" s="65" t="e">
        <f t="shared" si="4"/>
        <v>#DIV/0!</v>
      </c>
    </row>
    <row r="10" spans="3:19" ht="14.4" hidden="1" customHeight="1" x14ac:dyDescent="0.3">
      <c r="C10" s="14" t="s">
        <v>17</v>
      </c>
      <c r="D10" s="15" t="s">
        <v>18</v>
      </c>
      <c r="E10" s="15">
        <f>60*60*24*365.25</f>
        <v>31557600</v>
      </c>
      <c r="F10" s="35" t="s">
        <v>19</v>
      </c>
      <c r="H10" s="40">
        <v>31557600</v>
      </c>
      <c r="I10" s="13">
        <v>31557600</v>
      </c>
      <c r="J10" s="13"/>
      <c r="N10">
        <f t="shared" si="0"/>
        <v>31557600</v>
      </c>
      <c r="O10">
        <f t="shared" si="1"/>
        <v>31557600</v>
      </c>
      <c r="P10">
        <f t="shared" si="2"/>
        <v>31557600</v>
      </c>
      <c r="R10" s="65">
        <f t="shared" si="3"/>
        <v>0</v>
      </c>
      <c r="S10" s="65">
        <f t="shared" si="4"/>
        <v>0</v>
      </c>
    </row>
    <row r="11" spans="3:19" x14ac:dyDescent="0.3">
      <c r="C11" s="91" t="s">
        <v>3</v>
      </c>
      <c r="D11" s="92"/>
      <c r="E11" s="92"/>
      <c r="F11" s="93"/>
      <c r="H11" s="40"/>
      <c r="I11" s="13"/>
      <c r="J11" s="13"/>
      <c r="R11" s="65"/>
      <c r="S11" s="65"/>
    </row>
    <row r="12" spans="3:19" ht="14.4" customHeight="1" x14ac:dyDescent="0.3">
      <c r="C12" s="89" t="s">
        <v>4</v>
      </c>
      <c r="D12" s="22" t="s">
        <v>5</v>
      </c>
      <c r="E12">
        <v>2.5</v>
      </c>
      <c r="F12" s="3" t="s">
        <v>8</v>
      </c>
      <c r="H12" s="39">
        <f>15/12</f>
        <v>1.25</v>
      </c>
      <c r="I12" s="3">
        <f>5</f>
        <v>5</v>
      </c>
      <c r="J12" s="69" t="s">
        <v>8</v>
      </c>
      <c r="M12" s="74" t="s">
        <v>106</v>
      </c>
      <c r="N12">
        <f t="shared" si="0"/>
        <v>1.25</v>
      </c>
      <c r="O12">
        <f t="shared" si="1"/>
        <v>2.5</v>
      </c>
      <c r="P12">
        <f t="shared" si="2"/>
        <v>5</v>
      </c>
      <c r="R12" s="76">
        <f t="shared" si="3"/>
        <v>-0.5</v>
      </c>
      <c r="S12" s="76">
        <f t="shared" si="4"/>
        <v>1</v>
      </c>
    </row>
    <row r="13" spans="3:19" x14ac:dyDescent="0.3">
      <c r="C13" s="89"/>
      <c r="D13" s="22" t="s">
        <v>6</v>
      </c>
      <c r="E13" s="5">
        <v>0.125</v>
      </c>
      <c r="F13" s="3" t="s">
        <v>9</v>
      </c>
      <c r="H13" s="71" t="s">
        <v>103</v>
      </c>
      <c r="I13" s="72" t="s">
        <v>103</v>
      </c>
      <c r="J13" s="69" t="s">
        <v>9</v>
      </c>
      <c r="N13" t="str">
        <f t="shared" si="0"/>
        <v>??</v>
      </c>
      <c r="O13">
        <f t="shared" si="1"/>
        <v>0.125</v>
      </c>
      <c r="P13" t="str">
        <f t="shared" si="2"/>
        <v>??</v>
      </c>
      <c r="R13" s="65"/>
      <c r="S13" s="65"/>
    </row>
    <row r="14" spans="3:19" x14ac:dyDescent="0.3">
      <c r="C14" s="89"/>
      <c r="D14" s="22" t="s">
        <v>13</v>
      </c>
      <c r="E14">
        <v>2</v>
      </c>
      <c r="F14" s="3" t="s">
        <v>10</v>
      </c>
      <c r="H14" s="71">
        <v>2</v>
      </c>
      <c r="I14" s="72">
        <v>5</v>
      </c>
      <c r="J14" s="69" t="s">
        <v>10</v>
      </c>
      <c r="M14" s="74" t="s">
        <v>117</v>
      </c>
      <c r="N14">
        <f t="shared" si="0"/>
        <v>2</v>
      </c>
      <c r="O14">
        <f t="shared" si="1"/>
        <v>2</v>
      </c>
      <c r="P14">
        <f t="shared" si="2"/>
        <v>5</v>
      </c>
      <c r="R14" s="76">
        <f t="shared" si="3"/>
        <v>0</v>
      </c>
      <c r="S14" s="76">
        <f t="shared" si="4"/>
        <v>1.5</v>
      </c>
    </row>
    <row r="15" spans="3:19" x14ac:dyDescent="0.3">
      <c r="C15" s="89"/>
      <c r="D15" s="22" t="s">
        <v>20</v>
      </c>
      <c r="E15">
        <v>70.510000000000005</v>
      </c>
      <c r="F15" s="3" t="s">
        <v>21</v>
      </c>
      <c r="H15" s="71">
        <f>E15-2.71</f>
        <v>67.800000000000011</v>
      </c>
      <c r="I15" s="72">
        <f>E15</f>
        <v>70.510000000000005</v>
      </c>
      <c r="J15" s="69" t="s">
        <v>21</v>
      </c>
      <c r="M15" t="s">
        <v>107</v>
      </c>
      <c r="N15">
        <f t="shared" si="0"/>
        <v>67.800000000000011</v>
      </c>
      <c r="O15">
        <f t="shared" si="1"/>
        <v>70.510000000000005</v>
      </c>
      <c r="P15">
        <f t="shared" si="2"/>
        <v>70.510000000000005</v>
      </c>
      <c r="R15" s="65">
        <f t="shared" si="3"/>
        <v>-3.8434264643312913E-2</v>
      </c>
      <c r="S15" s="65">
        <f t="shared" si="4"/>
        <v>0</v>
      </c>
    </row>
    <row r="16" spans="3:19" ht="14.4" customHeight="1" x14ac:dyDescent="0.3">
      <c r="C16" s="89" t="s">
        <v>7</v>
      </c>
      <c r="D16" s="22" t="s">
        <v>5</v>
      </c>
      <c r="E16">
        <v>4</v>
      </c>
      <c r="F16" s="3" t="s">
        <v>8</v>
      </c>
      <c r="H16" s="71">
        <v>3</v>
      </c>
      <c r="I16" s="72">
        <v>5</v>
      </c>
      <c r="J16" s="69" t="s">
        <v>8</v>
      </c>
      <c r="M16" s="74" t="s">
        <v>108</v>
      </c>
      <c r="N16">
        <f t="shared" si="0"/>
        <v>3</v>
      </c>
      <c r="O16">
        <f t="shared" si="1"/>
        <v>4</v>
      </c>
      <c r="P16">
        <f t="shared" si="2"/>
        <v>5</v>
      </c>
      <c r="R16" s="76">
        <f t="shared" si="3"/>
        <v>-0.25</v>
      </c>
      <c r="S16" s="76">
        <f t="shared" si="4"/>
        <v>0.25</v>
      </c>
    </row>
    <row r="17" spans="3:19" x14ac:dyDescent="0.3">
      <c r="C17" s="89"/>
      <c r="D17" s="22" t="s">
        <v>6</v>
      </c>
      <c r="E17" s="5">
        <v>0.13055555555555556</v>
      </c>
      <c r="F17" s="3" t="s">
        <v>9</v>
      </c>
      <c r="H17" s="71" t="s">
        <v>103</v>
      </c>
      <c r="I17" s="72" t="s">
        <v>103</v>
      </c>
      <c r="J17" s="69" t="s">
        <v>9</v>
      </c>
      <c r="N17" t="str">
        <f t="shared" si="0"/>
        <v>??</v>
      </c>
      <c r="O17">
        <f t="shared" si="1"/>
        <v>0.13055555555555556</v>
      </c>
      <c r="P17" t="str">
        <f t="shared" si="2"/>
        <v>??</v>
      </c>
      <c r="R17" s="65"/>
      <c r="S17" s="65"/>
    </row>
    <row r="18" spans="3:19" x14ac:dyDescent="0.3">
      <c r="C18" s="89"/>
      <c r="D18" s="22" t="s">
        <v>13</v>
      </c>
      <c r="E18">
        <v>20</v>
      </c>
      <c r="F18" s="3" t="s">
        <v>10</v>
      </c>
      <c r="H18" s="71">
        <v>20</v>
      </c>
      <c r="I18" s="72">
        <v>100</v>
      </c>
      <c r="J18" s="69" t="s">
        <v>10</v>
      </c>
      <c r="M18" s="74" t="s">
        <v>116</v>
      </c>
      <c r="N18">
        <f t="shared" si="0"/>
        <v>20</v>
      </c>
      <c r="O18">
        <f t="shared" si="1"/>
        <v>20</v>
      </c>
      <c r="P18">
        <f t="shared" si="2"/>
        <v>100</v>
      </c>
      <c r="R18" s="76">
        <f t="shared" si="3"/>
        <v>0</v>
      </c>
      <c r="S18" s="76">
        <f t="shared" si="4"/>
        <v>4</v>
      </c>
    </row>
    <row r="19" spans="3:19" x14ac:dyDescent="0.3">
      <c r="C19" s="100"/>
      <c r="D19" s="25" t="s">
        <v>20</v>
      </c>
      <c r="E19" s="12">
        <v>29.49</v>
      </c>
      <c r="F19" s="13" t="s">
        <v>21</v>
      </c>
      <c r="H19" s="40">
        <v>29.49</v>
      </c>
      <c r="I19" s="13">
        <v>29.49</v>
      </c>
      <c r="J19" s="13" t="s">
        <v>21</v>
      </c>
      <c r="M19" t="s">
        <v>109</v>
      </c>
      <c r="N19">
        <f t="shared" si="0"/>
        <v>29.49</v>
      </c>
      <c r="O19">
        <f t="shared" si="1"/>
        <v>29.49</v>
      </c>
      <c r="P19">
        <f t="shared" si="2"/>
        <v>29.49</v>
      </c>
      <c r="R19" s="65">
        <f t="shared" si="3"/>
        <v>0</v>
      </c>
      <c r="S19" s="65">
        <f t="shared" si="4"/>
        <v>0</v>
      </c>
    </row>
    <row r="20" spans="3:19" x14ac:dyDescent="0.3">
      <c r="C20" s="85" t="s">
        <v>38</v>
      </c>
      <c r="D20" s="86"/>
      <c r="E20" s="86"/>
      <c r="F20" s="87"/>
      <c r="H20" s="40"/>
      <c r="I20" s="13"/>
      <c r="J20" s="13"/>
      <c r="R20" s="65"/>
      <c r="S20" s="65"/>
    </row>
    <row r="21" spans="3:19" ht="14.4" customHeight="1" x14ac:dyDescent="0.3">
      <c r="C21" s="88" t="s">
        <v>27</v>
      </c>
      <c r="D21" s="24" t="s">
        <v>25</v>
      </c>
      <c r="E21" s="10">
        <v>4</v>
      </c>
      <c r="F21" s="11" t="s">
        <v>33</v>
      </c>
      <c r="H21" s="39">
        <v>1</v>
      </c>
      <c r="I21" s="3" t="s">
        <v>103</v>
      </c>
      <c r="J21" s="69"/>
      <c r="M21" t="s">
        <v>110</v>
      </c>
      <c r="N21">
        <f t="shared" si="0"/>
        <v>1</v>
      </c>
      <c r="O21">
        <f t="shared" si="1"/>
        <v>4</v>
      </c>
      <c r="P21" t="str">
        <f t="shared" si="2"/>
        <v>??</v>
      </c>
      <c r="R21" s="65">
        <f t="shared" si="3"/>
        <v>-0.75</v>
      </c>
      <c r="S21" s="65" t="e">
        <f t="shared" si="4"/>
        <v>#VALUE!</v>
      </c>
    </row>
    <row r="22" spans="3:19" x14ac:dyDescent="0.3">
      <c r="C22" s="89"/>
      <c r="D22" s="22" t="s">
        <v>24</v>
      </c>
      <c r="E22">
        <v>4</v>
      </c>
      <c r="F22" s="3" t="s">
        <v>34</v>
      </c>
      <c r="H22" s="39">
        <v>1</v>
      </c>
      <c r="I22" s="3">
        <v>4</v>
      </c>
      <c r="J22" s="69" t="s">
        <v>102</v>
      </c>
      <c r="M22" s="74" t="s">
        <v>111</v>
      </c>
      <c r="N22">
        <f t="shared" si="0"/>
        <v>1</v>
      </c>
      <c r="O22">
        <f t="shared" si="1"/>
        <v>4</v>
      </c>
      <c r="P22">
        <f t="shared" si="2"/>
        <v>4</v>
      </c>
      <c r="R22" s="76">
        <f t="shared" si="3"/>
        <v>-0.75</v>
      </c>
      <c r="S22" s="76">
        <f t="shared" si="4"/>
        <v>0</v>
      </c>
    </row>
    <row r="23" spans="3:19" x14ac:dyDescent="0.3">
      <c r="C23" s="89"/>
      <c r="D23" s="22" t="s">
        <v>26</v>
      </c>
      <c r="E23">
        <v>1.5</v>
      </c>
      <c r="F23" s="3" t="s">
        <v>35</v>
      </c>
      <c r="H23" s="39">
        <v>1</v>
      </c>
      <c r="I23" s="3">
        <v>2</v>
      </c>
      <c r="J23" s="69" t="s">
        <v>35</v>
      </c>
      <c r="M23" s="74" t="s">
        <v>112</v>
      </c>
      <c r="N23">
        <f t="shared" si="0"/>
        <v>1</v>
      </c>
      <c r="O23">
        <f t="shared" si="1"/>
        <v>1.5</v>
      </c>
      <c r="P23">
        <f t="shared" si="2"/>
        <v>2</v>
      </c>
      <c r="R23" s="76">
        <f t="shared" si="3"/>
        <v>-0.33333333333333331</v>
      </c>
      <c r="S23" s="76">
        <f t="shared" si="4"/>
        <v>0.33333333333333331</v>
      </c>
    </row>
    <row r="24" spans="3:19" ht="14.4" customHeight="1" x14ac:dyDescent="0.3">
      <c r="C24" s="89"/>
      <c r="D24" s="22" t="s">
        <v>30</v>
      </c>
      <c r="E24">
        <v>5.8999999999999997E-2</v>
      </c>
      <c r="F24" s="3" t="s">
        <v>36</v>
      </c>
      <c r="H24" s="39" t="s">
        <v>104</v>
      </c>
      <c r="I24" s="39" t="s">
        <v>104</v>
      </c>
      <c r="J24" s="3"/>
      <c r="M24" t="s">
        <v>113</v>
      </c>
      <c r="N24" t="str">
        <f t="shared" si="0"/>
        <v>Old metric, oldest data in webpage is from 2023</v>
      </c>
      <c r="O24">
        <f t="shared" si="1"/>
        <v>5.8999999999999997E-2</v>
      </c>
      <c r="P24" t="str">
        <f>I24</f>
        <v>Old metric, oldest data in webpage is from 2023</v>
      </c>
      <c r="R24" s="65" t="e">
        <f t="shared" si="3"/>
        <v>#VALUE!</v>
      </c>
      <c r="S24" s="65" t="e">
        <f t="shared" si="4"/>
        <v>#VALUE!</v>
      </c>
    </row>
    <row r="25" spans="3:19" x14ac:dyDescent="0.3">
      <c r="C25" s="7" t="s">
        <v>28</v>
      </c>
      <c r="D25" s="22" t="s">
        <v>23</v>
      </c>
      <c r="E25">
        <v>18</v>
      </c>
      <c r="F25" s="3" t="s">
        <v>22</v>
      </c>
      <c r="H25" s="39">
        <v>10</v>
      </c>
      <c r="I25" s="3">
        <v>37</v>
      </c>
      <c r="J25" s="69" t="s">
        <v>22</v>
      </c>
      <c r="M25" s="74" t="s">
        <v>114</v>
      </c>
      <c r="N25">
        <f t="shared" si="0"/>
        <v>10</v>
      </c>
      <c r="O25">
        <f t="shared" si="1"/>
        <v>18</v>
      </c>
      <c r="P25">
        <f t="shared" si="2"/>
        <v>37</v>
      </c>
      <c r="R25" s="76">
        <f t="shared" si="3"/>
        <v>-0.44444444444444442</v>
      </c>
      <c r="S25" s="76">
        <f t="shared" si="4"/>
        <v>1.0555555555555556</v>
      </c>
    </row>
    <row r="26" spans="3:19" x14ac:dyDescent="0.3">
      <c r="C26" s="28" t="s">
        <v>29</v>
      </c>
      <c r="D26" s="25" t="s">
        <v>23</v>
      </c>
      <c r="E26" s="12">
        <v>587</v>
      </c>
      <c r="F26" s="13" t="s">
        <v>22</v>
      </c>
      <c r="H26" s="40">
        <v>16</v>
      </c>
      <c r="I26" s="13">
        <v>1357</v>
      </c>
      <c r="J26" s="13" t="s">
        <v>22</v>
      </c>
      <c r="M26" s="74" t="s">
        <v>115</v>
      </c>
      <c r="N26">
        <f t="shared" si="0"/>
        <v>16</v>
      </c>
      <c r="O26">
        <f t="shared" si="1"/>
        <v>587</v>
      </c>
      <c r="P26">
        <f t="shared" si="2"/>
        <v>1357</v>
      </c>
      <c r="R26" s="76">
        <f t="shared" si="3"/>
        <v>-0.97274275979557068</v>
      </c>
      <c r="S26" s="76">
        <f t="shared" si="4"/>
        <v>1.31175468483816</v>
      </c>
    </row>
    <row r="27" spans="3:19" x14ac:dyDescent="0.3">
      <c r="C27" s="85" t="s">
        <v>39</v>
      </c>
      <c r="D27" s="86"/>
      <c r="E27" s="86"/>
      <c r="F27" s="87"/>
      <c r="H27" s="40"/>
      <c r="I27" s="13"/>
      <c r="J27" s="13"/>
      <c r="R27" s="65"/>
      <c r="S27" s="65"/>
    </row>
    <row r="28" spans="3:19" ht="14.4" customHeight="1" x14ac:dyDescent="0.3">
      <c r="C28" s="6" t="s">
        <v>41</v>
      </c>
      <c r="D28" s="22" t="s">
        <v>42</v>
      </c>
      <c r="E28">
        <v>692</v>
      </c>
      <c r="F28" s="3" t="s">
        <v>40</v>
      </c>
      <c r="H28" s="79" t="s">
        <v>105</v>
      </c>
      <c r="I28" s="80"/>
      <c r="J28" s="69"/>
      <c r="N28" t="str">
        <f t="shared" si="0"/>
        <v>No given bounds</v>
      </c>
      <c r="O28">
        <f t="shared" si="1"/>
        <v>692</v>
      </c>
      <c r="P28">
        <f t="shared" si="2"/>
        <v>0</v>
      </c>
      <c r="R28" s="65" t="e">
        <f t="shared" si="3"/>
        <v>#VALUE!</v>
      </c>
      <c r="S28" s="65">
        <f t="shared" si="4"/>
        <v>-1</v>
      </c>
    </row>
    <row r="29" spans="3:19" x14ac:dyDescent="0.3">
      <c r="C29" s="7" t="s">
        <v>43</v>
      </c>
      <c r="D29" s="22" t="s">
        <v>13</v>
      </c>
      <c r="E29">
        <v>153</v>
      </c>
      <c r="F29" s="3" t="s">
        <v>10</v>
      </c>
      <c r="H29" s="81"/>
      <c r="I29" s="82"/>
      <c r="J29" s="69"/>
      <c r="N29">
        <f t="shared" si="0"/>
        <v>0</v>
      </c>
      <c r="O29">
        <f t="shared" si="1"/>
        <v>153</v>
      </c>
      <c r="P29">
        <f t="shared" si="2"/>
        <v>0</v>
      </c>
      <c r="R29" s="65">
        <f t="shared" si="3"/>
        <v>-1</v>
      </c>
      <c r="S29" s="65">
        <f t="shared" si="4"/>
        <v>-1</v>
      </c>
    </row>
    <row r="30" spans="3:19" ht="15" thickBot="1" x14ac:dyDescent="0.35">
      <c r="C30" s="27" t="s">
        <v>46</v>
      </c>
      <c r="D30" s="23" t="s">
        <v>44</v>
      </c>
      <c r="E30" s="8">
        <v>1.0900000000000001</v>
      </c>
      <c r="F30" s="9" t="s">
        <v>45</v>
      </c>
      <c r="H30" s="83"/>
      <c r="I30" s="84"/>
      <c r="J30" s="70"/>
      <c r="N30">
        <f t="shared" si="0"/>
        <v>0</v>
      </c>
      <c r="O30">
        <f t="shared" si="1"/>
        <v>1.0900000000000001</v>
      </c>
      <c r="P30">
        <f t="shared" si="2"/>
        <v>0</v>
      </c>
      <c r="R30" s="65">
        <f t="shared" si="3"/>
        <v>-1</v>
      </c>
      <c r="S30" s="65">
        <f t="shared" si="4"/>
        <v>-1</v>
      </c>
    </row>
  </sheetData>
  <mergeCells count="11">
    <mergeCell ref="C12:C15"/>
    <mergeCell ref="C5:D5"/>
    <mergeCell ref="H5:I5"/>
    <mergeCell ref="C6:F6"/>
    <mergeCell ref="C9:F9"/>
    <mergeCell ref="C11:F11"/>
    <mergeCell ref="C16:C19"/>
    <mergeCell ref="C20:F20"/>
    <mergeCell ref="C21:C24"/>
    <mergeCell ref="C27:F27"/>
    <mergeCell ref="H28:I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Devices</vt:lpstr>
      <vt:lpstr>Network</vt:lpstr>
      <vt:lpstr>Datacentre</vt:lpstr>
      <vt:lpstr>Total</vt:lpstr>
      <vt:lpstr>Variability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Hernandez</dc:creator>
  <cp:lastModifiedBy>Oscar Hernandez</cp:lastModifiedBy>
  <dcterms:created xsi:type="dcterms:W3CDTF">2025-12-01T21:39:45Z</dcterms:created>
  <dcterms:modified xsi:type="dcterms:W3CDTF">2025-12-03T11:12:12Z</dcterms:modified>
</cp:coreProperties>
</file>